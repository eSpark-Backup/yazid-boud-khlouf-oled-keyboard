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D:\eSpark\YazidBoukhlouf-OLEDKeyboard\Deliverables\BOMs\"/>
    </mc:Choice>
  </mc:AlternateContent>
  <xr:revisionPtr revIDLastSave="0" documentId="13_ncr:1_{8576FB07-18DD-4430-B9F7-83A07B8F368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ingle Board" sheetId="1" r:id="rId1"/>
    <sheet name="5 Boar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34" i="1" l="1"/>
  <c r="O14" i="2"/>
  <c r="O31" i="2"/>
  <c r="K4" i="2"/>
  <c r="L4" i="2" s="1"/>
  <c r="O4" i="2" s="1"/>
  <c r="K5" i="2"/>
  <c r="L5" i="2" s="1"/>
  <c r="O5" i="2" s="1"/>
  <c r="K6" i="2"/>
  <c r="L6" i="2" s="1"/>
  <c r="O6" i="2" s="1"/>
  <c r="K7" i="2"/>
  <c r="L7" i="2" s="1"/>
  <c r="O7" i="2" s="1"/>
  <c r="K8" i="2"/>
  <c r="L8" i="2" s="1"/>
  <c r="O8" i="2" s="1"/>
  <c r="K9" i="2"/>
  <c r="L9" i="2" s="1"/>
  <c r="O9" i="2" s="1"/>
  <c r="K10" i="2"/>
  <c r="L10" i="2" s="1"/>
  <c r="O10" i="2" s="1"/>
  <c r="K11" i="2"/>
  <c r="L11" i="2" s="1"/>
  <c r="O11" i="2" s="1"/>
  <c r="K12" i="2"/>
  <c r="L12" i="2" s="1"/>
  <c r="O12" i="2" s="1"/>
  <c r="K13" i="2"/>
  <c r="L13" i="2" s="1"/>
  <c r="O13" i="2" s="1"/>
  <c r="K14" i="2"/>
  <c r="L14" i="2" s="1"/>
  <c r="K15" i="2"/>
  <c r="L15" i="2" s="1"/>
  <c r="O15" i="2" s="1"/>
  <c r="K16" i="2"/>
  <c r="L16" i="2" s="1"/>
  <c r="O16" i="2" s="1"/>
  <c r="K17" i="2"/>
  <c r="L17" i="2" s="1"/>
  <c r="O17" i="2" s="1"/>
  <c r="K18" i="2"/>
  <c r="L18" i="2" s="1"/>
  <c r="O18" i="2" s="1"/>
  <c r="K19" i="2"/>
  <c r="L19" i="2" s="1"/>
  <c r="O19" i="2" s="1"/>
  <c r="K20" i="2"/>
  <c r="L20" i="2" s="1"/>
  <c r="O20" i="2" s="1"/>
  <c r="K21" i="2"/>
  <c r="L21" i="2" s="1"/>
  <c r="O21" i="2" s="1"/>
  <c r="K22" i="2"/>
  <c r="L22" i="2" s="1"/>
  <c r="O22" i="2" s="1"/>
  <c r="K23" i="2"/>
  <c r="L23" i="2" s="1"/>
  <c r="O23" i="2" s="1"/>
  <c r="K24" i="2"/>
  <c r="L24" i="2" s="1"/>
  <c r="O24" i="2" s="1"/>
  <c r="K25" i="2"/>
  <c r="L25" i="2" s="1"/>
  <c r="O25" i="2" s="1"/>
  <c r="K26" i="2"/>
  <c r="L26" i="2" s="1"/>
  <c r="O26" i="2" s="1"/>
  <c r="K27" i="2"/>
  <c r="L27" i="2" s="1"/>
  <c r="O27" i="2" s="1"/>
  <c r="K28" i="2"/>
  <c r="L28" i="2" s="1"/>
  <c r="O28" i="2" s="1"/>
  <c r="K29" i="2"/>
  <c r="L29" i="2" s="1"/>
  <c r="O29" i="2" s="1"/>
  <c r="K30" i="2"/>
  <c r="L30" i="2" s="1"/>
  <c r="O30" i="2" s="1"/>
  <c r="K31" i="2"/>
  <c r="L31" i="2" s="1"/>
  <c r="K32" i="2"/>
  <c r="L32" i="2" s="1"/>
  <c r="O32" i="2" s="1"/>
  <c r="K33" i="2"/>
  <c r="L33" i="2" s="1"/>
  <c r="O33" i="2" s="1"/>
  <c r="K4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" i="1"/>
  <c r="K3" i="2" l="1"/>
  <c r="L3" i="2" s="1"/>
  <c r="O3" i="2" s="1"/>
  <c r="O34" i="2" s="1"/>
  <c r="O35" i="2" s="1"/>
</calcChain>
</file>

<file path=xl/sharedStrings.xml><?xml version="1.0" encoding="utf-8"?>
<sst xmlns="http://schemas.openxmlformats.org/spreadsheetml/2006/main" count="535" uniqueCount="179">
  <si>
    <t>Description</t>
  </si>
  <si>
    <t>Designator</t>
  </si>
  <si>
    <t>Manufacturer</t>
  </si>
  <si>
    <t>Manufacturer Part Number</t>
  </si>
  <si>
    <t>TDK</t>
  </si>
  <si>
    <t>Murata</t>
  </si>
  <si>
    <t>J1</t>
  </si>
  <si>
    <t>Wurth Electronics</t>
  </si>
  <si>
    <t>47K</t>
  </si>
  <si>
    <t>Res0402</t>
  </si>
  <si>
    <t>0R</t>
  </si>
  <si>
    <t>Yageo</t>
  </si>
  <si>
    <t>S. No.</t>
  </si>
  <si>
    <t>Components</t>
  </si>
  <si>
    <t>Footprint (Package)</t>
  </si>
  <si>
    <t>Alternate</t>
  </si>
  <si>
    <t>Value</t>
  </si>
  <si>
    <t>Quantity (Per Board)</t>
  </si>
  <si>
    <t>DigiKey Link</t>
  </si>
  <si>
    <t>Unit Cost(1)</t>
  </si>
  <si>
    <t>Total Cost(1)</t>
  </si>
  <si>
    <t>Remarks</t>
  </si>
  <si>
    <t>Diode</t>
  </si>
  <si>
    <t>Resistor</t>
  </si>
  <si>
    <t>Ics</t>
  </si>
  <si>
    <t>Custom</t>
  </si>
  <si>
    <t xml:space="preserve">Total Component Cost </t>
  </si>
  <si>
    <t>Single Board Cost</t>
  </si>
  <si>
    <t>----------</t>
  </si>
  <si>
    <t>Taiyo Yuden</t>
  </si>
  <si>
    <t>---------</t>
  </si>
  <si>
    <t>Stackpole Electronics</t>
  </si>
  <si>
    <t>10K</t>
  </si>
  <si>
    <t>-------</t>
  </si>
  <si>
    <t>L1</t>
  </si>
  <si>
    <t>L2</t>
  </si>
  <si>
    <t>Inductor</t>
  </si>
  <si>
    <t>U1</t>
  </si>
  <si>
    <t>Texas Instruments</t>
  </si>
  <si>
    <t>U2</t>
  </si>
  <si>
    <t>Res0603</t>
  </si>
  <si>
    <t>U8</t>
  </si>
  <si>
    <t>XKB Connectivity</t>
  </si>
  <si>
    <t>Desired Quantity Single Board</t>
  </si>
  <si>
    <t>C1, C13, C32</t>
  </si>
  <si>
    <t>C2, C3, C4, C5, C6, C7, C8, C9, C10, C18, C21, C22, C23, C24, C25, C30, C31, C33</t>
  </si>
  <si>
    <t>C11, C12</t>
  </si>
  <si>
    <t>C14, C15</t>
  </si>
  <si>
    <t>C16, C17, C19, C20</t>
  </si>
  <si>
    <t>C26</t>
  </si>
  <si>
    <t>C27</t>
  </si>
  <si>
    <t>C28</t>
  </si>
  <si>
    <t>C29</t>
  </si>
  <si>
    <t>Cap0603</t>
  </si>
  <si>
    <t>Cap 0402</t>
  </si>
  <si>
    <t>F981E105MMA</t>
  </si>
  <si>
    <t>CL10A475KA8NQNC</t>
  </si>
  <si>
    <t>CC0603ZRY5V9BB104</t>
  </si>
  <si>
    <t>CC0603KRX5R8BB105</t>
  </si>
  <si>
    <t>GRM188R6YA225KA12D</t>
  </si>
  <si>
    <t>CC0603JRNPO9BN100</t>
  </si>
  <si>
    <t>EMK105ABJ225KV-F</t>
  </si>
  <si>
    <t>C1608X5R1E106M080AC</t>
  </si>
  <si>
    <t>CC0603KRX7R9BB221</t>
  </si>
  <si>
    <t>Samsung</t>
  </si>
  <si>
    <t>Kyocera AVX</t>
  </si>
  <si>
    <t>Digi-Key</t>
  </si>
  <si>
    <t>CAP CER 4.7UF 25V X5R 0603</t>
  </si>
  <si>
    <t>CAP CER 0.1UF 50V Y5V 0603</t>
  </si>
  <si>
    <t>CAP CER 1UF 25V X5R 0603</t>
  </si>
  <si>
    <t>CAP, 2.2µF, 35V, 10%, X5R, 0603</t>
  </si>
  <si>
    <t>CAP CER 10PF 50V NP0 0603</t>
  </si>
  <si>
    <t>CAP CER 2.2UF 16V X5R 0402</t>
  </si>
  <si>
    <t>CAP CER 10UF 25V X5R 0603</t>
  </si>
  <si>
    <t>RES SMD 220pF ±10% 50V X7R 0603</t>
  </si>
  <si>
    <t>CAP TANT 1UF 20% 25V 0603</t>
  </si>
  <si>
    <t>D1</t>
  </si>
  <si>
    <t>SOD123</t>
  </si>
  <si>
    <t>MBR0520</t>
  </si>
  <si>
    <t>Yangzhou</t>
  </si>
  <si>
    <t>FBMH1608HL121-TV</t>
  </si>
  <si>
    <t>3.3UH</t>
  </si>
  <si>
    <t>FDN338P</t>
  </si>
  <si>
    <t>FDN335N</t>
  </si>
  <si>
    <t>51K</t>
  </si>
  <si>
    <t>68K</t>
  </si>
  <si>
    <t>13.3K</t>
  </si>
  <si>
    <t>SS-3235D-03-L2</t>
  </si>
  <si>
    <t>TS-1185EC-C-D-B</t>
  </si>
  <si>
    <t>S-1172B33-E6T1U</t>
  </si>
  <si>
    <t>STM32F407VGT7TR</t>
  </si>
  <si>
    <t>TCA9548APWR</t>
  </si>
  <si>
    <t>LM27313XMF/NOPB</t>
  </si>
  <si>
    <t>32.768KHz</t>
  </si>
  <si>
    <t>25MHz</t>
  </si>
  <si>
    <t>IND 0603</t>
  </si>
  <si>
    <t>FIXED IND 3.3UH 8A 11.8 MOHM SMD</t>
  </si>
  <si>
    <t>74437368033</t>
  </si>
  <si>
    <t>Q1</t>
  </si>
  <si>
    <t>SOT23-3</t>
  </si>
  <si>
    <t>SOT-23 MOSFETs ROHS</t>
  </si>
  <si>
    <t>Q2</t>
  </si>
  <si>
    <t>RES SMD 0 OHM JUMPER 1/20W 0201</t>
  </si>
  <si>
    <t>R1</t>
  </si>
  <si>
    <t>Res-0201</t>
  </si>
  <si>
    <t>RC0201JR-070RL</t>
  </si>
  <si>
    <t>RES SMD 10K OHM 5% 1/10W 0603</t>
  </si>
  <si>
    <t>R2, R3, R6, R7, R8, R9, R10, R11, R12, R13, R14, R15, R16, R17, R18, R19, R20, R21, R22, R23, R24, R25, R26, R27, R28, R29, R30, R31, R32, R33, R34, R35, R36, R37, R38, R39, R40, R41, R42, R110, R111, R112, R113, R114, R115, R116, R117, R118</t>
  </si>
  <si>
    <t>AC0603JR-0710KL</t>
  </si>
  <si>
    <t>RES SMD 47K OHM 1% 1/16W 0402</t>
  </si>
  <si>
    <t>R4, R5, R43, R44, R45, R46, R47, R48, R49, R50, R51, R52, R53, R54, R55, R56, R57, R58, R59, R60, R61, R62, R63, R64, R65, R66, R67, R68, R69, R70, R71, R72, R73, R74, R75, R76, R77, R78, R79, R80, R81, R82, R83, R84, R85, R86, R87, R88, R89, R90, R91, R92, R93, R94, R95, R96, R97, R98, R99, R100, R101, R102, R103, R104, R105, R106, R107, R108, R109, R120, R121, R122, R123, R124, R125, R126, R127, R128, R129, R130, R131, R132</t>
  </si>
  <si>
    <t>RC0402FR-0747KL</t>
  </si>
  <si>
    <t>R133</t>
  </si>
  <si>
    <t>RMCF0603FT51K0</t>
  </si>
  <si>
    <t>RES SMD 68K OHM 1% 1/10W 0603</t>
  </si>
  <si>
    <t>RF1</t>
  </si>
  <si>
    <t>RC0603FR-0768KL</t>
  </si>
  <si>
    <t>RES SMD 13.3K OHM 1% 1/10W 0603</t>
  </si>
  <si>
    <t>RF2</t>
  </si>
  <si>
    <t>AC0603FR-0713K3L</t>
  </si>
  <si>
    <t>SPDT 50mA @ 12VDC 12V On-On SMD Toggle Switches RoHS</t>
  </si>
  <si>
    <t>SW1, SW2</t>
  </si>
  <si>
    <t>SW3</t>
  </si>
  <si>
    <t>IC REG LINEAR 3.3V 1A 6HSOP</t>
  </si>
  <si>
    <t>HSOP-6</t>
  </si>
  <si>
    <t>IC MCU 32BIT 1MB FLASH 100LQFP</t>
  </si>
  <si>
    <t>LQFP-100</t>
  </si>
  <si>
    <t>IC BUS SWITCH 1 X 8:1 24TSSOP</t>
  </si>
  <si>
    <t>U3, U4, U5, U6, U7</t>
  </si>
  <si>
    <t>24-TSSOP</t>
  </si>
  <si>
    <t>IC REG BOOST ADJ 0.8A SOT23-5</t>
  </si>
  <si>
    <t>SOT23-5</t>
  </si>
  <si>
    <t>X1</t>
  </si>
  <si>
    <t>Q13FC1350000200</t>
  </si>
  <si>
    <t>25MHz SMD Crystal Resonator 10pF 40Ω ±10ppm</t>
  </si>
  <si>
    <t>X2</t>
  </si>
  <si>
    <t>S3225000101040</t>
  </si>
  <si>
    <t>Res SMD 0603 51K Ohm 1% 0.1W</t>
  </si>
  <si>
    <t>20V 1.6A 500mW ,1.6A P Channel SOT-23</t>
  </si>
  <si>
    <t>3mm 2mm Round Button 50mA SPST 12V SMD Tactile Switches</t>
  </si>
  <si>
    <t>Ferrite Beads 120Ohm 25% 100MHz 1.2A 0. 0603</t>
  </si>
  <si>
    <t>20V 450mV@500mA 500mA SOD-123 SBD</t>
  </si>
  <si>
    <t>32.768kHz SMD Crystal Resonator 7pF 70kΩ</t>
  </si>
  <si>
    <t>UMW</t>
  </si>
  <si>
    <t>XKB</t>
  </si>
  <si>
    <t>ABLIC</t>
  </si>
  <si>
    <t>STMicroelectronics</t>
  </si>
  <si>
    <t>TI National Semiconductor</t>
  </si>
  <si>
    <t>Seiko Epson</t>
  </si>
  <si>
    <t>JGHC</t>
  </si>
  <si>
    <t>USB 3.0 1 9 Male Type-A SMD USB Connectors ROHS</t>
  </si>
  <si>
    <t>U231-091N-4BLRA00-S</t>
  </si>
  <si>
    <t>0.5MM PITCH - 80 POS - RIGHT ANG</t>
  </si>
  <si>
    <t>J2</t>
  </si>
  <si>
    <t>046288080000846+</t>
  </si>
  <si>
    <t>CONN FFC FPC 26POS 0.50MM R/A</t>
  </si>
  <si>
    <t>J3</t>
  </si>
  <si>
    <t>FH34SRJ-26S-0.5SH(50)</t>
  </si>
  <si>
    <t>Capacitors</t>
  </si>
  <si>
    <t>Transistors</t>
  </si>
  <si>
    <t>Switches</t>
  </si>
  <si>
    <t>Crystals</t>
  </si>
  <si>
    <t>Connectors</t>
  </si>
  <si>
    <t>Bill of Material (BOM) for Custom Keyboard</t>
  </si>
  <si>
    <t>Quantity (Per 5  Board)</t>
  </si>
  <si>
    <t>Desired Quantity 5 Board</t>
  </si>
  <si>
    <t>Hirose</t>
  </si>
  <si>
    <t>4.7UF</t>
  </si>
  <si>
    <t>0.1uF</t>
  </si>
  <si>
    <t>1uF</t>
  </si>
  <si>
    <t>2.2uF</t>
  </si>
  <si>
    <t>10pF</t>
  </si>
  <si>
    <t>10uF</t>
  </si>
  <si>
    <t>220pF</t>
  </si>
  <si>
    <t>Unit Cost(5)</t>
  </si>
  <si>
    <t>Total Cost(5)</t>
  </si>
  <si>
    <t>MBR0520-TP</t>
  </si>
  <si>
    <t>Custom Supplier</t>
  </si>
  <si>
    <t>Total Component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</si>
</sst>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_-[$$-409]* #,##0.00_ ;_-[$$-409]* \-#,##0.00\ ;_-[$$-409]* &quot;-&quot;??_ ;_-@_ "/>
    <numFmt numFmtId="170" formatCode="&quot;$&quot;#,##0.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0" fontId="1" fillId="2" borderId="5" xfId="0" applyFont="1" applyFill="1" applyBorder="1" applyAlignment="1">
      <alignment horizontal="center" vertical="center"/>
    </xf>
    <xf numFmtId="0" fontId="0" fillId="0" borderId="0" xfId="0" applyFont="1"/>
    <xf numFmtId="0" fontId="4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0" borderId="6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0" fontId="6" fillId="0" borderId="6" xfId="0" quotePrefix="1" applyFont="1" applyFill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164" fontId="6" fillId="0" borderId="6" xfId="0" applyNumberFormat="1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6" fillId="0" borderId="7" xfId="0" quotePrefix="1" applyFont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165" fontId="8" fillId="3" borderId="7" xfId="0" applyNumberFormat="1" applyFont="1" applyFill="1" applyBorder="1" applyAlignment="1">
      <alignment horizontal="center" vertical="center"/>
    </xf>
    <xf numFmtId="1" fontId="6" fillId="0" borderId="6" xfId="0" applyNumberFormat="1" applyFont="1" applyBorder="1" applyAlignment="1">
      <alignment horizontal="center" vertical="center"/>
    </xf>
    <xf numFmtId="0" fontId="6" fillId="0" borderId="7" xfId="0" quotePrefix="1" applyFont="1" applyFill="1" applyBorder="1" applyAlignment="1">
      <alignment horizontal="center" vertical="center"/>
    </xf>
    <xf numFmtId="164" fontId="6" fillId="0" borderId="7" xfId="0" applyNumberFormat="1" applyFont="1" applyFill="1" applyBorder="1" applyAlignment="1">
      <alignment horizontal="center" vertical="center"/>
    </xf>
    <xf numFmtId="0" fontId="6" fillId="0" borderId="7" xfId="0" applyFont="1" applyBorder="1"/>
    <xf numFmtId="0" fontId="6" fillId="0" borderId="6" xfId="0" applyFont="1" applyBorder="1"/>
    <xf numFmtId="0" fontId="6" fillId="0" borderId="7" xfId="0" applyFont="1" applyBorder="1" applyAlignment="1">
      <alignment horizontal="center" vertical="center"/>
    </xf>
    <xf numFmtId="165" fontId="8" fillId="3" borderId="6" xfId="0" applyNumberFormat="1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quotePrefix="1" applyBorder="1"/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0" borderId="10" xfId="0" quotePrefix="1" applyBorder="1"/>
    <xf numFmtId="0" fontId="0" fillId="0" borderId="10" xfId="0" quotePrefix="1" applyBorder="1" applyAlignment="1">
      <alignment horizontal="left" vertical="top"/>
    </xf>
    <xf numFmtId="0" fontId="0" fillId="0" borderId="10" xfId="0" quotePrefix="1" applyBorder="1" applyAlignment="1">
      <alignment horizontal="left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7" fillId="3" borderId="8" xfId="0" applyFont="1" applyFill="1" applyBorder="1" applyAlignment="1">
      <alignment horizontal="center" wrapText="1"/>
    </xf>
    <xf numFmtId="0" fontId="7" fillId="3" borderId="0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5" fillId="0" borderId="1" xfId="1" quotePrefix="1" applyBorder="1" applyAlignment="1">
      <alignment horizontal="center" vertical="center"/>
    </xf>
    <xf numFmtId="0" fontId="5" fillId="0" borderId="6" xfId="1" quotePrefix="1" applyFont="1" applyBorder="1" applyAlignment="1">
      <alignment horizontal="center" vertical="center"/>
    </xf>
    <xf numFmtId="0" fontId="5" fillId="0" borderId="6" xfId="1" quotePrefix="1" applyBorder="1" applyAlignment="1">
      <alignment horizontal="center" vertical="center"/>
    </xf>
    <xf numFmtId="0" fontId="5" fillId="0" borderId="7" xfId="1" quotePrefix="1" applyBorder="1" applyAlignment="1">
      <alignment horizontal="center" vertical="center"/>
    </xf>
    <xf numFmtId="0" fontId="5" fillId="0" borderId="1" xfId="1" quotePrefix="1" applyFont="1" applyBorder="1" applyAlignment="1">
      <alignment horizontal="center" vertical="center"/>
    </xf>
    <xf numFmtId="164" fontId="7" fillId="3" borderId="0" xfId="0" applyNumberFormat="1" applyFont="1" applyFill="1" applyBorder="1" applyAlignment="1">
      <alignment horizontal="center" wrapText="1"/>
    </xf>
    <xf numFmtId="170" fontId="7" fillId="3" borderId="0" xfId="0" applyNumberFormat="1" applyFont="1" applyFill="1" applyBorder="1" applyAlignment="1">
      <alignment horizontal="center" wrapText="1"/>
    </xf>
    <xf numFmtId="0" fontId="7" fillId="3" borderId="3" xfId="0" applyFont="1" applyFill="1" applyBorder="1" applyAlignment="1">
      <alignment wrapText="1"/>
    </xf>
    <xf numFmtId="0" fontId="7" fillId="3" borderId="11" xfId="0" applyFont="1" applyFill="1" applyBorder="1" applyAlignment="1">
      <alignment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4" fontId="7" fillId="3" borderId="11" xfId="0" applyNumberFormat="1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CC0603KRX7R9BB221/302811?s=N4IgTCBcDaIMJwAwDZEGYDSAlAGgdiwE4AhYsMARhAF0BfIA" TargetMode="External"/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ablic-u-s-a-inc/S-1172B33-E6T1U/6601547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21" Type="http://schemas.openxmlformats.org/officeDocument/2006/relationships/hyperlink" Target="https://www.digikey.com/en/products/detail/texas-instruments/LM27313XMF-NOPB/1590046" TargetMode="External"/><Relationship Id="rId7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2" Type="http://schemas.openxmlformats.org/officeDocument/2006/relationships/hyperlink" Target="https://www.digikey.com/en/products/detail/onsemi/FDN338P/458848" TargetMode="External"/><Relationship Id="rId17" Type="http://schemas.openxmlformats.org/officeDocument/2006/relationships/hyperlink" Target="https://www.digikey.com/en/products/detail/yageo/AC0603FR-0713K3L/5895780?s=N4IgTCBcDaIIIGEAMA2JBmAYgJQLRIHYBGdAaXQBkQBdAXyA" TargetMode="External"/><Relationship Id="rId25" Type="http://schemas.openxmlformats.org/officeDocument/2006/relationships/hyperlink" Target="https://www.digikey.com/en/products/detail/onsemi/FDN335N/965301?s=N4IgTCBcDaIGIBEByBmFBWJIC6BfIA" TargetMode="External"/><Relationship Id="rId2" Type="http://schemas.openxmlformats.org/officeDocument/2006/relationships/hyperlink" Target="https://www.digikey.com/en/products/detail/yageo/CC0603ZRY5V9BB104/2103081?s=N4IgTCBcDaIMJwAwDZEGYBaAlAmgVgDUBOAIRIEZEAWEAXQF8g" TargetMode="External"/><Relationship Id="rId16" Type="http://schemas.openxmlformats.org/officeDocument/2006/relationships/hyperlink" Target="https://www.digikey.com/en/products/detail/yageo/RC0603FR-0768KL/727352?s=N4IgTCBcDaIEoGEAMA2JBmAYnAtEg7CgBwDSAMiALoC%2BQA" TargetMode="External"/><Relationship Id="rId20" Type="http://schemas.openxmlformats.org/officeDocument/2006/relationships/hyperlink" Target="https://www.digikey.com/en/products/detail/texas-instruments/TCA9548APWR/3615458?s=N4IgTCBcDaICoGECCBOArAFgBxIAoHUAlEAXQF8g" TargetMode="External"/><Relationship Id="rId1" Type="http://schemas.openxmlformats.org/officeDocument/2006/relationships/hyperlink" Target="https://www.digikey.com/en/products/detail/samsung-electro-mechanics/CL10A475KA8NQNC/3887558" TargetMode="External"/><Relationship Id="rId6" Type="http://schemas.openxmlformats.org/officeDocument/2006/relationships/hyperlink" Target="https://www.digikey.com/en/products/detail/taiyo-yuden/EMK105ABJ225KV-F/7403764?s=N4IgTCBcDaIKIFkDSBGADAVgIICEBSYYGSAagLQBiIAugL5A" TargetMode="External"/><Relationship Id="rId11" Type="http://schemas.openxmlformats.org/officeDocument/2006/relationships/hyperlink" Target="https://www.digikey.com/en/products/detail/w%C3%BCrth-elektronik/74437368033/2791109?s=N4IgTCBcDaIOwBYEGY7IGwA4AMzkgF0BfIA" TargetMode="External"/><Relationship Id="rId24" Type="http://schemas.openxmlformats.org/officeDocument/2006/relationships/hyperlink" Target="https://www.digikey.com/en/products/detail/hirose-electric-co-ltd/FH34SRJ-26S-0-5SH-50/3880274?s=N4IgTCBcDaIGIAkDMAWAygJQFIFowDY0cAGAOgFY0EAKc4gShAF0BfIA" TargetMode="External"/><Relationship Id="rId5" Type="http://schemas.openxmlformats.org/officeDocument/2006/relationships/hyperlink" Target="https://www.digikey.com/en/products/detail/yageo/CC0603JRNPO9BN100/302792?s=N4IgTCBcDaIMJwAwDZEGYBSAlAcgBQHkBOAIRwEZFEQBdAXyA" TargetMode="External"/><Relationship Id="rId15" Type="http://schemas.openxmlformats.org/officeDocument/2006/relationships/hyperlink" Target="https://www.digikey.com/en/products/detail/stackpole-electronics-inc/RMCF0603FT51K0/1760867?s=N4IgTCBcDaIEoFkDCAxADANjQZhQFQFYBGAaTRAF0BfIA" TargetMode="External"/><Relationship Id="rId23" Type="http://schemas.openxmlformats.org/officeDocument/2006/relationships/hyperlink" Target="https://www.digikey.com/en/products/detail/kyocera-avx/046288080000846/10313214?s=N4IgTCBcDaIAwBYBsYAcq4bt1yDUIAugL5A" TargetMode="External"/><Relationship Id="rId10" Type="http://schemas.openxmlformats.org/officeDocument/2006/relationships/hyperlink" Target="https://www.digikey.com/en/products/detail/taiyo-yuden/FBMH1608HL121-TV/4875410?s=N4IgTCBcDaIGICECyAJAjANgAwA4UBk0w0BaAFQDUQBdAXyA" TargetMode="External"/><Relationship Id="rId19" Type="http://schemas.openxmlformats.org/officeDocument/2006/relationships/hyperlink" Target="https://www.digikey.com/en/products/detail/stmicroelectronics/STM32F407VGT7TR/5268288?s=N4IgTCBcDaIMoBUCyBmMAxALABgOwDUBxBXBAJRAF0BfIA" TargetMode="External"/><Relationship Id="rId4" Type="http://schemas.openxmlformats.org/officeDocument/2006/relationships/hyperlink" Target="digikey.com/en/products/detail/murata-electronics/GRM188R6YA225KA12D/3900462?s=N4IgTCBcDaIOICUCyBGAHGhA2AmgQTDAFYBpPFMAERAF0BfIA" TargetMode="External"/><Relationship Id="rId9" Type="http://schemas.openxmlformats.org/officeDocument/2006/relationships/hyperlink" Target="https://www.digikey.com/en/products/detail/kyocera-avx/F981E105MMA/4005086?s=N4IgTCBcDaIGIE4AcBGAoigDAVgLK4EEQBdAXyA" TargetMode="External"/><Relationship Id="rId14" Type="http://schemas.openxmlformats.org/officeDocument/2006/relationships/hyperlink" Target="https://www.digikey.com/en/products/detail/yageo/RC0402FR-0747KL/726616?s=N4IgTCBcDaIEoGEAMAWJYBicC0SDsKeA0gDIgC6AvkA" TargetMode="External"/><Relationship Id="rId22" Type="http://schemas.openxmlformats.org/officeDocument/2006/relationships/hyperlink" Target="https://www.digikey.com/en/products/detail/epson/FC-135-32-7680KA-AG5/5261102?s=N4IgTCBcDaIIoEYDMAxAwsgrABl9suIAugL5A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CC0603KRX7R9BB221/302811?s=N4IgTCBcDaIMJwAwDZEGYDSAlAGgdiwE4AhYsMARhAF0BfIA" TargetMode="External"/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ablic-u-s-a-inc/S-1172B33-E6T1U/6601547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21" Type="http://schemas.openxmlformats.org/officeDocument/2006/relationships/hyperlink" Target="https://www.digikey.com/en/products/detail/texas-instruments/LM27313XMF-NOPB/1590046" TargetMode="External"/><Relationship Id="rId7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2" Type="http://schemas.openxmlformats.org/officeDocument/2006/relationships/hyperlink" Target="https://www.digikey.com/en/products/detail/onsemi/FDN338P/458848" TargetMode="External"/><Relationship Id="rId17" Type="http://schemas.openxmlformats.org/officeDocument/2006/relationships/hyperlink" Target="https://www.digikey.com/en/products/detail/yageo/AC0603FR-0713K3L/5895780?s=N4IgTCBcDaIIIGEAMA2JBmAYgJQLRIHYBGdAaXQBkQBdAXyA" TargetMode="External"/><Relationship Id="rId25" Type="http://schemas.openxmlformats.org/officeDocument/2006/relationships/hyperlink" Target="https://www.digikey.com/en/products/detail/onsemi/FDN335N/965301?s=N4IgTCBcDaIGIBEByBmFBWJIC6BfIA" TargetMode="External"/><Relationship Id="rId2" Type="http://schemas.openxmlformats.org/officeDocument/2006/relationships/hyperlink" Target="https://www.digikey.com/en/products/detail/yageo/CC0603ZRY5V9BB104/2103081?s=N4IgTCBcDaIMJwAwDZEGYBaAlAmgVgDUBOAIRIEZEAWEAXQF8g" TargetMode="External"/><Relationship Id="rId16" Type="http://schemas.openxmlformats.org/officeDocument/2006/relationships/hyperlink" Target="https://www.digikey.com/en/products/detail/yageo/RC0603FR-0768KL/727352?s=N4IgTCBcDaIEoGEAMA2JBmAYnAtEg7CgBwDSAMiALoC%2BQA" TargetMode="External"/><Relationship Id="rId20" Type="http://schemas.openxmlformats.org/officeDocument/2006/relationships/hyperlink" Target="https://www.digikey.com/en/products/detail/texas-instruments/TCA9548APWR/3615458?s=N4IgTCBcDaICoGECCBOArAFgBxIAoHUAlEAXQF8g" TargetMode="External"/><Relationship Id="rId1" Type="http://schemas.openxmlformats.org/officeDocument/2006/relationships/hyperlink" Target="https://www.digikey.com/en/products/detail/samsung-electro-mechanics/CL10A475KA8NQNC/3887558" TargetMode="External"/><Relationship Id="rId6" Type="http://schemas.openxmlformats.org/officeDocument/2006/relationships/hyperlink" Target="https://www.digikey.com/en/products/detail/taiyo-yuden/EMK105ABJ225KV-F/7403764?s=N4IgTCBcDaIKIFkDSBGADAVgIICEBSYYGSAagLQBiIAugL5A" TargetMode="External"/><Relationship Id="rId11" Type="http://schemas.openxmlformats.org/officeDocument/2006/relationships/hyperlink" Target="https://www.digikey.com/en/products/detail/w%C3%BCrth-elektronik/74437368033/2791109?s=N4IgTCBcDaIOwBYEGY7IGwA4AMzkgF0BfIA" TargetMode="External"/><Relationship Id="rId24" Type="http://schemas.openxmlformats.org/officeDocument/2006/relationships/hyperlink" Target="https://www.digikey.com/en/products/detail/hirose-electric-co-ltd/FH34SRJ-26S-0-5SH-50/3880274?s=N4IgTCBcDaIGIAkDMAWAygJQFIFowDY0cAGAOgFY0EAKc4gShAF0BfIA" TargetMode="External"/><Relationship Id="rId5" Type="http://schemas.openxmlformats.org/officeDocument/2006/relationships/hyperlink" Target="https://www.digikey.com/en/products/detail/yageo/CC0603JRNPO9BN100/302792?s=N4IgTCBcDaIMJwAwDZEGYBSAlAcgBQHkBOAIRwEZFEQBdAXyA" TargetMode="External"/><Relationship Id="rId15" Type="http://schemas.openxmlformats.org/officeDocument/2006/relationships/hyperlink" Target="https://www.digikey.com/en/products/detail/stackpole-electronics-inc/RMCF0603FT51K0/1760867?s=N4IgTCBcDaIEoFkDCAxADANjQZhQFQFYBGAaTRAF0BfIA" TargetMode="External"/><Relationship Id="rId23" Type="http://schemas.openxmlformats.org/officeDocument/2006/relationships/hyperlink" Target="https://www.digikey.com/en/products/detail/kyocera-avx/046288080000846/10313214?s=N4IgTCBcDaIAwBYBsYAcq4bt1yDUIAugL5A" TargetMode="External"/><Relationship Id="rId10" Type="http://schemas.openxmlformats.org/officeDocument/2006/relationships/hyperlink" Target="https://www.digikey.com/en/products/detail/taiyo-yuden/FBMH1608HL121-TV/4875410?s=N4IgTCBcDaIGICECyAJAjANgAwA4UBk0w0BaAFQDUQBdAXyA" TargetMode="External"/><Relationship Id="rId19" Type="http://schemas.openxmlformats.org/officeDocument/2006/relationships/hyperlink" Target="https://www.digikey.com/en/products/detail/stmicroelectronics/STM32F407VGT7TR/5268288?s=N4IgTCBcDaIMoBUCyBmMAxALABgOwDUBxBXBAJRAF0BfIA" TargetMode="External"/><Relationship Id="rId4" Type="http://schemas.openxmlformats.org/officeDocument/2006/relationships/hyperlink" Target="digikey.com/en/products/detail/murata-electronics/GRM188R6YA225KA12D/3900462?s=N4IgTCBcDaIOICUCyBGAHGhA2AmgQTDAFYBpPFMAERAF0BfIA" TargetMode="External"/><Relationship Id="rId9" Type="http://schemas.openxmlformats.org/officeDocument/2006/relationships/hyperlink" Target="https://www.digikey.com/en/products/detail/kyocera-avx/F981E105MMA/4005086?s=N4IgTCBcDaIGIE4AcBGAoigDAVgLK4EEQBdAXyA" TargetMode="External"/><Relationship Id="rId14" Type="http://schemas.openxmlformats.org/officeDocument/2006/relationships/hyperlink" Target="https://www.digikey.com/en/products/detail/yageo/RC0402FR-0747KL/726616?s=N4IgTCBcDaIEoGEAMAWJYBicC0SDsKeA0gDIgC6AvkA" TargetMode="External"/><Relationship Id="rId22" Type="http://schemas.openxmlformats.org/officeDocument/2006/relationships/hyperlink" Target="https://www.digikey.com/en/products/detail/epson/FC-135-32-7680KA-AG5/5261102?s=N4IgTCBcDaIIoEYDMAxAwsgrABl9suI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tabSelected="1" topLeftCell="C1" zoomScale="86" zoomScaleNormal="85" workbookViewId="0">
      <selection activeCell="A2" sqref="A2"/>
    </sheetView>
  </sheetViews>
  <sheetFormatPr defaultRowHeight="15" x14ac:dyDescent="0.25"/>
  <cols>
    <col min="1" max="1" width="6.140625" style="9" bestFit="1" customWidth="1"/>
    <col min="2" max="2" width="14.42578125" customWidth="1"/>
    <col min="3" max="3" width="47.7109375" customWidth="1"/>
    <col min="4" max="4" width="33.85546875" customWidth="1"/>
    <col min="5" max="5" width="20" customWidth="1"/>
    <col min="6" max="6" width="27.5703125" customWidth="1"/>
    <col min="7" max="7" width="26.140625" customWidth="1"/>
    <col min="8" max="8" width="18.7109375" bestFit="1" customWidth="1"/>
    <col min="9" max="9" width="6.140625" bestFit="1" customWidth="1"/>
    <col min="10" max="10" width="19.42578125" bestFit="1" customWidth="1"/>
    <col min="11" max="11" width="28" bestFit="1" customWidth="1"/>
    <col min="12" max="12" width="18.42578125" customWidth="1"/>
    <col min="13" max="13" width="11.5703125" bestFit="1" customWidth="1"/>
    <col min="14" max="14" width="12.140625" bestFit="1" customWidth="1"/>
    <col min="15" max="15" width="48.28515625" bestFit="1" customWidth="1"/>
  </cols>
  <sheetData>
    <row r="1" spans="1:17" ht="16.5" thickBot="1" x14ac:dyDescent="0.3">
      <c r="A1" s="40" t="s">
        <v>163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2"/>
    </row>
    <row r="2" spans="1:17" ht="15.75" thickBot="1" x14ac:dyDescent="0.3">
      <c r="A2" s="1" t="s">
        <v>12</v>
      </c>
      <c r="B2" s="1" t="s">
        <v>13</v>
      </c>
      <c r="C2" s="1" t="s">
        <v>0</v>
      </c>
      <c r="D2" s="1" t="s">
        <v>1</v>
      </c>
      <c r="E2" s="1" t="s">
        <v>14</v>
      </c>
      <c r="F2" s="1" t="s">
        <v>3</v>
      </c>
      <c r="G2" s="1" t="s">
        <v>2</v>
      </c>
      <c r="H2" s="1" t="s">
        <v>15</v>
      </c>
      <c r="I2" s="1" t="s">
        <v>16</v>
      </c>
      <c r="J2" s="1" t="s">
        <v>17</v>
      </c>
      <c r="K2" s="1" t="s">
        <v>43</v>
      </c>
      <c r="L2" s="1" t="s">
        <v>18</v>
      </c>
      <c r="M2" s="1" t="s">
        <v>19</v>
      </c>
      <c r="N2" s="1" t="s">
        <v>20</v>
      </c>
      <c r="O2" s="1" t="s">
        <v>21</v>
      </c>
    </row>
    <row r="3" spans="1:17" ht="15.75" thickBot="1" x14ac:dyDescent="0.3">
      <c r="A3" s="14">
        <v>1</v>
      </c>
      <c r="B3" s="37" t="s">
        <v>158</v>
      </c>
      <c r="C3" s="33" t="s">
        <v>67</v>
      </c>
      <c r="D3" s="31" t="s">
        <v>44</v>
      </c>
      <c r="E3" s="31" t="s">
        <v>53</v>
      </c>
      <c r="F3" s="31" t="s">
        <v>56</v>
      </c>
      <c r="G3" s="31" t="s">
        <v>64</v>
      </c>
      <c r="H3" s="10" t="s">
        <v>28</v>
      </c>
      <c r="I3" s="31" t="s">
        <v>167</v>
      </c>
      <c r="J3" s="29">
        <v>3</v>
      </c>
      <c r="K3" s="18">
        <f>J3*1.1*1</f>
        <v>3.3000000000000003</v>
      </c>
      <c r="L3" s="44" t="s">
        <v>66</v>
      </c>
      <c r="M3" s="7">
        <v>0.38</v>
      </c>
      <c r="N3" s="7">
        <f>M3*J3</f>
        <v>1.1400000000000001</v>
      </c>
      <c r="O3" s="4"/>
      <c r="P3" s="2"/>
      <c r="Q3" s="2"/>
    </row>
    <row r="4" spans="1:17" ht="45.75" thickBot="1" x14ac:dyDescent="0.3">
      <c r="A4" s="14">
        <v>2</v>
      </c>
      <c r="B4" s="37"/>
      <c r="C4" s="33" t="s">
        <v>68</v>
      </c>
      <c r="D4" s="32" t="s">
        <v>45</v>
      </c>
      <c r="E4" s="31" t="s">
        <v>53</v>
      </c>
      <c r="F4" s="31" t="s">
        <v>57</v>
      </c>
      <c r="G4" s="31" t="s">
        <v>11</v>
      </c>
      <c r="H4" s="10" t="s">
        <v>28</v>
      </c>
      <c r="I4" s="31" t="s">
        <v>168</v>
      </c>
      <c r="J4" s="29">
        <v>18</v>
      </c>
      <c r="K4" s="18">
        <f>J4*1.1*1</f>
        <v>19.8</v>
      </c>
      <c r="L4" s="44" t="s">
        <v>66</v>
      </c>
      <c r="M4" s="7">
        <v>4.5999999999999999E-2</v>
      </c>
      <c r="N4" s="7">
        <f t="shared" ref="N4:N33" si="0">M4*J4</f>
        <v>0.82799999999999996</v>
      </c>
      <c r="O4" s="4"/>
      <c r="P4" s="2"/>
      <c r="Q4" s="2"/>
    </row>
    <row r="5" spans="1:17" ht="15.75" thickBot="1" x14ac:dyDescent="0.3">
      <c r="A5" s="14">
        <v>3</v>
      </c>
      <c r="B5" s="37"/>
      <c r="C5" s="33" t="s">
        <v>69</v>
      </c>
      <c r="D5" s="31" t="s">
        <v>46</v>
      </c>
      <c r="E5" s="31" t="s">
        <v>53</v>
      </c>
      <c r="F5" s="31" t="s">
        <v>58</v>
      </c>
      <c r="G5" s="31" t="s">
        <v>11</v>
      </c>
      <c r="H5" s="10" t="s">
        <v>28</v>
      </c>
      <c r="I5" s="31" t="s">
        <v>169</v>
      </c>
      <c r="J5" s="29">
        <v>2</v>
      </c>
      <c r="K5" s="18">
        <f t="shared" ref="K5:K33" si="1">J5*1.1*1</f>
        <v>2.2000000000000002</v>
      </c>
      <c r="L5" s="44" t="s">
        <v>66</v>
      </c>
      <c r="M5" s="7">
        <v>0.11</v>
      </c>
      <c r="N5" s="7">
        <f t="shared" si="0"/>
        <v>0.22</v>
      </c>
      <c r="O5" s="4"/>
      <c r="P5" s="2"/>
      <c r="Q5" s="2"/>
    </row>
    <row r="6" spans="1:17" ht="15.75" thickBot="1" x14ac:dyDescent="0.3">
      <c r="A6" s="14">
        <v>4</v>
      </c>
      <c r="B6" s="37"/>
      <c r="C6" s="33" t="s">
        <v>70</v>
      </c>
      <c r="D6" s="31" t="s">
        <v>47</v>
      </c>
      <c r="E6" s="31" t="s">
        <v>53</v>
      </c>
      <c r="F6" s="31" t="s">
        <v>59</v>
      </c>
      <c r="G6" s="31" t="s">
        <v>5</v>
      </c>
      <c r="H6" s="10" t="s">
        <v>28</v>
      </c>
      <c r="I6" s="31" t="s">
        <v>170</v>
      </c>
      <c r="J6" s="29">
        <v>2</v>
      </c>
      <c r="K6" s="18">
        <f t="shared" si="1"/>
        <v>2.2000000000000002</v>
      </c>
      <c r="L6" s="44" t="s">
        <v>66</v>
      </c>
      <c r="M6" s="7">
        <v>0.2</v>
      </c>
      <c r="N6" s="7">
        <f t="shared" si="0"/>
        <v>0.4</v>
      </c>
      <c r="O6" s="4"/>
      <c r="P6" s="2"/>
      <c r="Q6" s="2"/>
    </row>
    <row r="7" spans="1:17" ht="15.75" thickBot="1" x14ac:dyDescent="0.3">
      <c r="A7" s="14">
        <v>5</v>
      </c>
      <c r="B7" s="37"/>
      <c r="C7" s="33" t="s">
        <v>71</v>
      </c>
      <c r="D7" s="31" t="s">
        <v>48</v>
      </c>
      <c r="E7" s="31" t="s">
        <v>53</v>
      </c>
      <c r="F7" s="31" t="s">
        <v>60</v>
      </c>
      <c r="G7" s="31" t="s">
        <v>11</v>
      </c>
      <c r="H7" s="10" t="s">
        <v>28</v>
      </c>
      <c r="I7" s="31" t="s">
        <v>171</v>
      </c>
      <c r="J7" s="29">
        <v>4</v>
      </c>
      <c r="K7" s="18">
        <f t="shared" si="1"/>
        <v>4.4000000000000004</v>
      </c>
      <c r="L7" s="44" t="s">
        <v>66</v>
      </c>
      <c r="M7" s="7">
        <v>0.1</v>
      </c>
      <c r="N7" s="7">
        <f t="shared" si="0"/>
        <v>0.4</v>
      </c>
      <c r="O7" s="4"/>
      <c r="P7" s="2"/>
      <c r="Q7" s="2"/>
    </row>
    <row r="8" spans="1:17" ht="15.75" thickBot="1" x14ac:dyDescent="0.3">
      <c r="A8" s="14">
        <v>6</v>
      </c>
      <c r="B8" s="37"/>
      <c r="C8" s="33" t="s">
        <v>72</v>
      </c>
      <c r="D8" s="31" t="s">
        <v>49</v>
      </c>
      <c r="E8" s="31" t="s">
        <v>54</v>
      </c>
      <c r="F8" s="31" t="s">
        <v>61</v>
      </c>
      <c r="G8" s="31" t="s">
        <v>29</v>
      </c>
      <c r="H8" s="10"/>
      <c r="I8" s="31" t="s">
        <v>170</v>
      </c>
      <c r="J8" s="29">
        <v>1</v>
      </c>
      <c r="K8" s="18">
        <f t="shared" si="1"/>
        <v>1.1000000000000001</v>
      </c>
      <c r="L8" s="44" t="s">
        <v>66</v>
      </c>
      <c r="M8" s="7">
        <v>0.22</v>
      </c>
      <c r="N8" s="7">
        <f t="shared" si="0"/>
        <v>0.22</v>
      </c>
      <c r="O8" s="4"/>
      <c r="P8" s="2"/>
      <c r="Q8" s="2"/>
    </row>
    <row r="9" spans="1:17" ht="15.75" thickBot="1" x14ac:dyDescent="0.3">
      <c r="A9" s="14">
        <v>7</v>
      </c>
      <c r="B9" s="37"/>
      <c r="C9" s="33" t="s">
        <v>73</v>
      </c>
      <c r="D9" s="31" t="s">
        <v>50</v>
      </c>
      <c r="E9" s="31" t="s">
        <v>53</v>
      </c>
      <c r="F9" s="31" t="s">
        <v>62</v>
      </c>
      <c r="G9" s="31" t="s">
        <v>4</v>
      </c>
      <c r="H9" s="10"/>
      <c r="I9" s="31" t="s">
        <v>172</v>
      </c>
      <c r="J9" s="29">
        <v>1</v>
      </c>
      <c r="K9" s="18">
        <f t="shared" si="1"/>
        <v>1.1000000000000001</v>
      </c>
      <c r="L9" s="44" t="s">
        <v>66</v>
      </c>
      <c r="M9" s="7">
        <v>0.82</v>
      </c>
      <c r="N9" s="7">
        <f t="shared" si="0"/>
        <v>0.82</v>
      </c>
      <c r="O9" s="4"/>
      <c r="P9" s="2"/>
      <c r="Q9" s="2"/>
    </row>
    <row r="10" spans="1:17" ht="15.75" thickBot="1" x14ac:dyDescent="0.3">
      <c r="A10" s="14">
        <v>8</v>
      </c>
      <c r="B10" s="37"/>
      <c r="C10" s="33" t="s">
        <v>74</v>
      </c>
      <c r="D10" s="31" t="s">
        <v>51</v>
      </c>
      <c r="E10" s="31" t="s">
        <v>40</v>
      </c>
      <c r="F10" s="31" t="s">
        <v>63</v>
      </c>
      <c r="G10" s="31" t="s">
        <v>11</v>
      </c>
      <c r="H10" s="10" t="s">
        <v>30</v>
      </c>
      <c r="I10" s="31" t="s">
        <v>173</v>
      </c>
      <c r="J10" s="29">
        <v>1</v>
      </c>
      <c r="K10" s="18">
        <f t="shared" si="1"/>
        <v>1.1000000000000001</v>
      </c>
      <c r="L10" s="44" t="s">
        <v>66</v>
      </c>
      <c r="M10" s="7">
        <v>0.1</v>
      </c>
      <c r="N10" s="7">
        <f t="shared" si="0"/>
        <v>0.1</v>
      </c>
      <c r="O10" s="4"/>
      <c r="P10" s="2"/>
      <c r="Q10" s="2"/>
    </row>
    <row r="11" spans="1:17" ht="15.75" thickBot="1" x14ac:dyDescent="0.3">
      <c r="A11" s="14">
        <v>9</v>
      </c>
      <c r="B11" s="37"/>
      <c r="C11" s="33" t="s">
        <v>75</v>
      </c>
      <c r="D11" s="31" t="s">
        <v>52</v>
      </c>
      <c r="E11" s="31" t="s">
        <v>25</v>
      </c>
      <c r="F11" s="31" t="s">
        <v>55</v>
      </c>
      <c r="G11" s="31" t="s">
        <v>65</v>
      </c>
      <c r="H11" s="10" t="s">
        <v>28</v>
      </c>
      <c r="I11" s="31" t="s">
        <v>169</v>
      </c>
      <c r="J11" s="29">
        <v>1</v>
      </c>
      <c r="K11" s="18">
        <f t="shared" si="1"/>
        <v>1.1000000000000001</v>
      </c>
      <c r="L11" s="44" t="s">
        <v>66</v>
      </c>
      <c r="M11" s="7">
        <v>0.83</v>
      </c>
      <c r="N11" s="7">
        <f t="shared" si="0"/>
        <v>0.83</v>
      </c>
      <c r="O11" s="4"/>
      <c r="P11" s="2"/>
      <c r="Q11" s="2"/>
    </row>
    <row r="12" spans="1:17" ht="15.75" thickBot="1" x14ac:dyDescent="0.3">
      <c r="A12" s="14">
        <v>10</v>
      </c>
      <c r="B12" s="36" t="s">
        <v>22</v>
      </c>
      <c r="C12" s="34" t="s">
        <v>141</v>
      </c>
      <c r="D12" s="31" t="s">
        <v>76</v>
      </c>
      <c r="E12" s="31" t="s">
        <v>77</v>
      </c>
      <c r="F12" s="31" t="s">
        <v>78</v>
      </c>
      <c r="G12" s="31" t="s">
        <v>79</v>
      </c>
      <c r="H12" s="12"/>
      <c r="I12" s="10" t="s">
        <v>28</v>
      </c>
      <c r="J12" s="29">
        <v>1</v>
      </c>
      <c r="K12" s="21">
        <f t="shared" si="1"/>
        <v>1.1000000000000001</v>
      </c>
      <c r="L12" s="45" t="s">
        <v>66</v>
      </c>
      <c r="M12" s="8">
        <v>0.35</v>
      </c>
      <c r="N12" s="8">
        <f t="shared" si="0"/>
        <v>0.35</v>
      </c>
      <c r="O12" s="6"/>
      <c r="P12" s="2"/>
      <c r="Q12" s="2"/>
    </row>
    <row r="13" spans="1:17" ht="15.75" thickBot="1" x14ac:dyDescent="0.3">
      <c r="A13" s="14">
        <v>11</v>
      </c>
      <c r="B13" s="37" t="s">
        <v>36</v>
      </c>
      <c r="C13" s="35" t="s">
        <v>140</v>
      </c>
      <c r="D13" s="31" t="s">
        <v>34</v>
      </c>
      <c r="E13" s="31" t="s">
        <v>95</v>
      </c>
      <c r="F13" s="31" t="s">
        <v>80</v>
      </c>
      <c r="G13" s="31" t="s">
        <v>29</v>
      </c>
      <c r="H13" s="15" t="s">
        <v>30</v>
      </c>
      <c r="I13" s="30"/>
      <c r="J13" s="29">
        <v>1</v>
      </c>
      <c r="K13" s="19">
        <f t="shared" si="1"/>
        <v>1.1000000000000001</v>
      </c>
      <c r="L13" s="46" t="s">
        <v>66</v>
      </c>
      <c r="M13" s="17">
        <v>0.21</v>
      </c>
      <c r="N13" s="17">
        <f t="shared" si="0"/>
        <v>0.21</v>
      </c>
      <c r="O13" s="20"/>
      <c r="P13" s="2"/>
      <c r="Q13" s="2"/>
    </row>
    <row r="14" spans="1:17" ht="15.75" thickBot="1" x14ac:dyDescent="0.3">
      <c r="A14" s="14">
        <v>12</v>
      </c>
      <c r="B14" s="37"/>
      <c r="C14" s="35" t="s">
        <v>96</v>
      </c>
      <c r="D14" s="31" t="s">
        <v>35</v>
      </c>
      <c r="E14" s="31" t="s">
        <v>25</v>
      </c>
      <c r="F14" s="31" t="s">
        <v>97</v>
      </c>
      <c r="G14" s="31" t="s">
        <v>7</v>
      </c>
      <c r="H14" s="10" t="s">
        <v>30</v>
      </c>
      <c r="I14" s="31" t="s">
        <v>81</v>
      </c>
      <c r="J14" s="29">
        <v>1</v>
      </c>
      <c r="K14" s="18">
        <f t="shared" si="1"/>
        <v>1.1000000000000001</v>
      </c>
      <c r="L14" s="46" t="s">
        <v>66</v>
      </c>
      <c r="M14" s="7">
        <v>2.4900000000000002</v>
      </c>
      <c r="N14" s="7">
        <f t="shared" si="0"/>
        <v>2.4900000000000002</v>
      </c>
      <c r="O14" s="4"/>
      <c r="P14" s="2"/>
      <c r="Q14" s="2"/>
    </row>
    <row r="15" spans="1:17" ht="15.75" thickBot="1" x14ac:dyDescent="0.3">
      <c r="A15" s="14">
        <v>13</v>
      </c>
      <c r="B15" s="37" t="s">
        <v>159</v>
      </c>
      <c r="C15" s="35" t="s">
        <v>138</v>
      </c>
      <c r="D15" s="31" t="s">
        <v>98</v>
      </c>
      <c r="E15" s="31" t="s">
        <v>99</v>
      </c>
      <c r="F15" s="31" t="s">
        <v>82</v>
      </c>
      <c r="G15" s="31" t="s">
        <v>143</v>
      </c>
      <c r="H15" s="12" t="s">
        <v>30</v>
      </c>
      <c r="I15" s="10" t="s">
        <v>28</v>
      </c>
      <c r="J15" s="29">
        <v>1</v>
      </c>
      <c r="K15" s="21">
        <f t="shared" si="1"/>
        <v>1.1000000000000001</v>
      </c>
      <c r="L15" s="46" t="s">
        <v>66</v>
      </c>
      <c r="M15" s="8">
        <v>0.52</v>
      </c>
      <c r="N15" s="8">
        <f t="shared" si="0"/>
        <v>0.52</v>
      </c>
      <c r="O15" s="6"/>
      <c r="P15" s="2"/>
      <c r="Q15" s="2"/>
    </row>
    <row r="16" spans="1:17" ht="15.75" thickBot="1" x14ac:dyDescent="0.3">
      <c r="A16" s="14">
        <v>14</v>
      </c>
      <c r="B16" s="37"/>
      <c r="C16" s="35" t="s">
        <v>100</v>
      </c>
      <c r="D16" s="31" t="s">
        <v>101</v>
      </c>
      <c r="E16" s="31" t="s">
        <v>99</v>
      </c>
      <c r="F16" s="31" t="s">
        <v>83</v>
      </c>
      <c r="G16" s="31" t="s">
        <v>143</v>
      </c>
      <c r="H16" s="22" t="s">
        <v>33</v>
      </c>
      <c r="I16" s="10" t="s">
        <v>28</v>
      </c>
      <c r="J16" s="29">
        <v>1</v>
      </c>
      <c r="K16" s="19">
        <f t="shared" si="1"/>
        <v>1.1000000000000001</v>
      </c>
      <c r="L16" s="47" t="s">
        <v>66</v>
      </c>
      <c r="M16" s="23">
        <v>0.55000000000000004</v>
      </c>
      <c r="N16" s="17">
        <f t="shared" si="0"/>
        <v>0.55000000000000004</v>
      </c>
      <c r="O16" s="24"/>
      <c r="P16" s="2"/>
      <c r="Q16" s="2"/>
    </row>
    <row r="17" spans="1:17" ht="15.75" thickBot="1" x14ac:dyDescent="0.3">
      <c r="A17" s="14">
        <v>15</v>
      </c>
      <c r="B17" s="37" t="s">
        <v>23</v>
      </c>
      <c r="C17" s="35" t="s">
        <v>102</v>
      </c>
      <c r="D17" s="31" t="s">
        <v>103</v>
      </c>
      <c r="E17" s="31" t="s">
        <v>104</v>
      </c>
      <c r="F17" s="31" t="s">
        <v>105</v>
      </c>
      <c r="G17" s="31" t="s">
        <v>11</v>
      </c>
      <c r="H17" s="11" t="s">
        <v>33</v>
      </c>
      <c r="I17" s="31" t="s">
        <v>10</v>
      </c>
      <c r="J17" s="29">
        <v>1</v>
      </c>
      <c r="K17" s="21">
        <f t="shared" si="1"/>
        <v>1.1000000000000001</v>
      </c>
      <c r="L17" s="45" t="s">
        <v>66</v>
      </c>
      <c r="M17" s="13">
        <v>0.1</v>
      </c>
      <c r="N17" s="8">
        <f t="shared" si="0"/>
        <v>0.1</v>
      </c>
      <c r="O17" s="25"/>
      <c r="P17" s="2"/>
      <c r="Q17" s="2"/>
    </row>
    <row r="18" spans="1:17" ht="15.75" thickBot="1" x14ac:dyDescent="0.3">
      <c r="A18" s="14">
        <v>16</v>
      </c>
      <c r="B18" s="37"/>
      <c r="C18" s="35" t="s">
        <v>106</v>
      </c>
      <c r="D18" s="31" t="s">
        <v>107</v>
      </c>
      <c r="E18" s="31" t="s">
        <v>40</v>
      </c>
      <c r="F18" s="31" t="s">
        <v>108</v>
      </c>
      <c r="G18" s="31" t="s">
        <v>11</v>
      </c>
      <c r="H18" s="16"/>
      <c r="I18" s="31" t="s">
        <v>32</v>
      </c>
      <c r="J18" s="29">
        <v>48</v>
      </c>
      <c r="K18" s="19">
        <f t="shared" si="1"/>
        <v>52.800000000000004</v>
      </c>
      <c r="L18" s="47" t="s">
        <v>66</v>
      </c>
      <c r="M18" s="17">
        <v>2.4E-2</v>
      </c>
      <c r="N18" s="17">
        <f t="shared" si="0"/>
        <v>1.1520000000000001</v>
      </c>
      <c r="O18" s="20"/>
      <c r="P18" s="2"/>
      <c r="Q18" s="2"/>
    </row>
    <row r="19" spans="1:17" ht="15.75" thickBot="1" x14ac:dyDescent="0.3">
      <c r="A19" s="14">
        <v>17</v>
      </c>
      <c r="B19" s="37"/>
      <c r="C19" s="35" t="s">
        <v>109</v>
      </c>
      <c r="D19" s="31" t="s">
        <v>110</v>
      </c>
      <c r="E19" s="31" t="s">
        <v>9</v>
      </c>
      <c r="F19" s="31" t="s">
        <v>111</v>
      </c>
      <c r="G19" s="31" t="s">
        <v>11</v>
      </c>
      <c r="H19" s="5" t="s">
        <v>28</v>
      </c>
      <c r="I19" s="31" t="s">
        <v>8</v>
      </c>
      <c r="J19" s="29">
        <v>82</v>
      </c>
      <c r="K19" s="21">
        <f t="shared" si="1"/>
        <v>90.2</v>
      </c>
      <c r="L19" s="47" t="s">
        <v>66</v>
      </c>
      <c r="M19" s="8">
        <v>1.6E-2</v>
      </c>
      <c r="N19" s="8">
        <f t="shared" si="0"/>
        <v>1.3120000000000001</v>
      </c>
      <c r="O19" s="27"/>
      <c r="P19" s="2"/>
      <c r="Q19" s="2"/>
    </row>
    <row r="20" spans="1:17" ht="15.75" thickBot="1" x14ac:dyDescent="0.3">
      <c r="A20" s="14">
        <v>18</v>
      </c>
      <c r="B20" s="37"/>
      <c r="C20" s="35" t="s">
        <v>137</v>
      </c>
      <c r="D20" s="31" t="s">
        <v>112</v>
      </c>
      <c r="E20" s="31" t="s">
        <v>40</v>
      </c>
      <c r="F20" s="31" t="s">
        <v>113</v>
      </c>
      <c r="G20" s="31" t="s">
        <v>31</v>
      </c>
      <c r="H20" s="26"/>
      <c r="I20" s="31" t="s">
        <v>84</v>
      </c>
      <c r="J20" s="29">
        <v>1</v>
      </c>
      <c r="K20" s="19">
        <f t="shared" si="1"/>
        <v>1.1000000000000001</v>
      </c>
      <c r="L20" s="47" t="s">
        <v>66</v>
      </c>
      <c r="M20" s="17">
        <v>0.1</v>
      </c>
      <c r="N20" s="17">
        <f t="shared" si="0"/>
        <v>0.1</v>
      </c>
      <c r="O20" s="26"/>
      <c r="P20" s="2"/>
      <c r="Q20" s="2"/>
    </row>
    <row r="21" spans="1:17" ht="15.75" thickBot="1" x14ac:dyDescent="0.3">
      <c r="A21" s="14">
        <v>19</v>
      </c>
      <c r="B21" s="37"/>
      <c r="C21" s="35" t="s">
        <v>114</v>
      </c>
      <c r="D21" s="31" t="s">
        <v>115</v>
      </c>
      <c r="E21" s="31" t="s">
        <v>40</v>
      </c>
      <c r="F21" s="31" t="s">
        <v>116</v>
      </c>
      <c r="G21" s="31" t="s">
        <v>11</v>
      </c>
      <c r="H21" s="3" t="s">
        <v>30</v>
      </c>
      <c r="I21" s="31" t="s">
        <v>85</v>
      </c>
      <c r="J21" s="29">
        <v>1</v>
      </c>
      <c r="K21" s="18">
        <f t="shared" si="1"/>
        <v>1.1000000000000001</v>
      </c>
      <c r="L21" s="47" t="s">
        <v>66</v>
      </c>
      <c r="M21" s="7">
        <v>0.1</v>
      </c>
      <c r="N21" s="7">
        <f t="shared" si="0"/>
        <v>0.1</v>
      </c>
      <c r="O21" s="4"/>
      <c r="P21" s="2"/>
      <c r="Q21" s="2"/>
    </row>
    <row r="22" spans="1:17" ht="15.75" thickBot="1" x14ac:dyDescent="0.3">
      <c r="A22" s="14">
        <v>20</v>
      </c>
      <c r="B22" s="37"/>
      <c r="C22" s="35" t="s">
        <v>117</v>
      </c>
      <c r="D22" s="31" t="s">
        <v>118</v>
      </c>
      <c r="E22" s="31" t="s">
        <v>40</v>
      </c>
      <c r="F22" s="31" t="s">
        <v>119</v>
      </c>
      <c r="G22" s="31" t="s">
        <v>11</v>
      </c>
      <c r="H22" s="3" t="s">
        <v>30</v>
      </c>
      <c r="I22" s="31" t="s">
        <v>86</v>
      </c>
      <c r="J22" s="29">
        <v>1</v>
      </c>
      <c r="K22" s="18">
        <f t="shared" si="1"/>
        <v>1.1000000000000001</v>
      </c>
      <c r="L22" s="44" t="s">
        <v>66</v>
      </c>
      <c r="M22" s="7">
        <v>0.1</v>
      </c>
      <c r="N22" s="7">
        <f t="shared" si="0"/>
        <v>0.1</v>
      </c>
      <c r="O22" s="4"/>
      <c r="P22" s="2"/>
      <c r="Q22" s="2"/>
    </row>
    <row r="23" spans="1:17" ht="15.75" thickBot="1" x14ac:dyDescent="0.3">
      <c r="A23" s="14">
        <v>21</v>
      </c>
      <c r="B23" s="37" t="s">
        <v>160</v>
      </c>
      <c r="C23" s="35" t="s">
        <v>120</v>
      </c>
      <c r="D23" s="31" t="s">
        <v>121</v>
      </c>
      <c r="E23" s="31" t="s">
        <v>25</v>
      </c>
      <c r="F23" s="31" t="s">
        <v>87</v>
      </c>
      <c r="G23" s="31" t="s">
        <v>42</v>
      </c>
      <c r="H23" s="3" t="s">
        <v>30</v>
      </c>
      <c r="I23" s="10" t="s">
        <v>28</v>
      </c>
      <c r="J23" s="29">
        <v>2</v>
      </c>
      <c r="K23" s="18">
        <f t="shared" si="1"/>
        <v>2.2000000000000002</v>
      </c>
      <c r="L23" s="48" t="s">
        <v>177</v>
      </c>
      <c r="M23" s="7">
        <v>1.23</v>
      </c>
      <c r="N23" s="7">
        <f t="shared" si="0"/>
        <v>2.46</v>
      </c>
      <c r="O23" s="4"/>
      <c r="P23" s="2"/>
      <c r="Q23" s="2"/>
    </row>
    <row r="24" spans="1:17" ht="15.75" thickBot="1" x14ac:dyDescent="0.3">
      <c r="A24" s="14">
        <v>22</v>
      </c>
      <c r="B24" s="37"/>
      <c r="C24" s="35" t="s">
        <v>139</v>
      </c>
      <c r="D24" s="31" t="s">
        <v>122</v>
      </c>
      <c r="E24" s="31" t="s">
        <v>25</v>
      </c>
      <c r="F24" s="31" t="s">
        <v>88</v>
      </c>
      <c r="G24" s="31" t="s">
        <v>144</v>
      </c>
      <c r="H24" s="3" t="s">
        <v>30</v>
      </c>
      <c r="I24" s="10" t="s">
        <v>28</v>
      </c>
      <c r="J24" s="29">
        <v>1</v>
      </c>
      <c r="K24" s="18">
        <f t="shared" si="1"/>
        <v>1.1000000000000001</v>
      </c>
      <c r="L24" s="48" t="s">
        <v>177</v>
      </c>
      <c r="M24" s="7">
        <v>0.45</v>
      </c>
      <c r="N24" s="7">
        <f t="shared" si="0"/>
        <v>0.45</v>
      </c>
      <c r="O24" s="4"/>
      <c r="P24" s="2"/>
      <c r="Q24" s="2"/>
    </row>
    <row r="25" spans="1:17" ht="15.75" thickBot="1" x14ac:dyDescent="0.3">
      <c r="A25" s="14">
        <v>23</v>
      </c>
      <c r="B25" s="37" t="s">
        <v>24</v>
      </c>
      <c r="C25" s="35" t="s">
        <v>123</v>
      </c>
      <c r="D25" s="31" t="s">
        <v>37</v>
      </c>
      <c r="E25" s="31" t="s">
        <v>124</v>
      </c>
      <c r="F25" s="31" t="s">
        <v>89</v>
      </c>
      <c r="G25" s="31" t="s">
        <v>145</v>
      </c>
      <c r="H25" s="3" t="s">
        <v>30</v>
      </c>
      <c r="I25" s="10" t="s">
        <v>28</v>
      </c>
      <c r="J25" s="29">
        <v>1</v>
      </c>
      <c r="K25" s="18">
        <f t="shared" si="1"/>
        <v>1.1000000000000001</v>
      </c>
      <c r="L25" s="44" t="s">
        <v>66</v>
      </c>
      <c r="M25" s="7">
        <v>1.61</v>
      </c>
      <c r="N25" s="7">
        <f t="shared" si="0"/>
        <v>1.61</v>
      </c>
      <c r="O25" s="4"/>
      <c r="P25" s="2"/>
      <c r="Q25" s="2"/>
    </row>
    <row r="26" spans="1:17" ht="15.75" thickBot="1" x14ac:dyDescent="0.3">
      <c r="A26" s="14">
        <v>24</v>
      </c>
      <c r="B26" s="37"/>
      <c r="C26" s="35" t="s">
        <v>125</v>
      </c>
      <c r="D26" s="31" t="s">
        <v>39</v>
      </c>
      <c r="E26" s="31" t="s">
        <v>126</v>
      </c>
      <c r="F26" s="31" t="s">
        <v>90</v>
      </c>
      <c r="G26" s="31" t="s">
        <v>146</v>
      </c>
      <c r="H26" s="3" t="s">
        <v>30</v>
      </c>
      <c r="I26" s="10" t="s">
        <v>28</v>
      </c>
      <c r="J26" s="29">
        <v>1</v>
      </c>
      <c r="K26" s="18">
        <f t="shared" si="1"/>
        <v>1.1000000000000001</v>
      </c>
      <c r="L26" s="44" t="s">
        <v>66</v>
      </c>
      <c r="M26" s="7">
        <v>15.942</v>
      </c>
      <c r="N26" s="7">
        <f t="shared" si="0"/>
        <v>15.942</v>
      </c>
      <c r="O26" s="4"/>
      <c r="P26" s="2"/>
      <c r="Q26" s="2"/>
    </row>
    <row r="27" spans="1:17" ht="15.75" thickBot="1" x14ac:dyDescent="0.3">
      <c r="A27" s="14">
        <v>25</v>
      </c>
      <c r="B27" s="37"/>
      <c r="C27" s="35" t="s">
        <v>127</v>
      </c>
      <c r="D27" s="31" t="s">
        <v>128</v>
      </c>
      <c r="E27" s="31" t="s">
        <v>129</v>
      </c>
      <c r="F27" s="31" t="s">
        <v>91</v>
      </c>
      <c r="G27" s="31" t="s">
        <v>38</v>
      </c>
      <c r="H27" s="3" t="s">
        <v>30</v>
      </c>
      <c r="I27" s="10" t="s">
        <v>28</v>
      </c>
      <c r="J27" s="29">
        <v>5</v>
      </c>
      <c r="K27" s="18">
        <f t="shared" si="1"/>
        <v>5.5</v>
      </c>
      <c r="L27" s="44" t="s">
        <v>66</v>
      </c>
      <c r="M27" s="7"/>
      <c r="N27" s="7">
        <f t="shared" si="0"/>
        <v>0</v>
      </c>
      <c r="O27" s="4"/>
      <c r="P27" s="2"/>
      <c r="Q27" s="2"/>
    </row>
    <row r="28" spans="1:17" ht="15.75" thickBot="1" x14ac:dyDescent="0.3">
      <c r="A28" s="14">
        <v>26</v>
      </c>
      <c r="B28" s="37"/>
      <c r="C28" s="35" t="s">
        <v>130</v>
      </c>
      <c r="D28" s="31" t="s">
        <v>41</v>
      </c>
      <c r="E28" s="31" t="s">
        <v>131</v>
      </c>
      <c r="F28" s="31" t="s">
        <v>92</v>
      </c>
      <c r="G28" s="31" t="s">
        <v>147</v>
      </c>
      <c r="H28" s="3" t="s">
        <v>30</v>
      </c>
      <c r="I28" s="10" t="s">
        <v>28</v>
      </c>
      <c r="J28" s="29">
        <v>1</v>
      </c>
      <c r="K28" s="18">
        <f t="shared" si="1"/>
        <v>1.1000000000000001</v>
      </c>
      <c r="L28" s="44" t="s">
        <v>66</v>
      </c>
      <c r="M28" s="7">
        <v>2.1800000000000002</v>
      </c>
      <c r="N28" s="7">
        <f t="shared" si="0"/>
        <v>2.1800000000000002</v>
      </c>
      <c r="O28" s="4"/>
      <c r="P28" s="2"/>
      <c r="Q28" s="2"/>
    </row>
    <row r="29" spans="1:17" ht="15.75" thickBot="1" x14ac:dyDescent="0.3">
      <c r="A29" s="14">
        <v>27</v>
      </c>
      <c r="B29" s="37" t="s">
        <v>161</v>
      </c>
      <c r="C29" s="35" t="s">
        <v>142</v>
      </c>
      <c r="D29" s="31" t="s">
        <v>132</v>
      </c>
      <c r="E29" s="31" t="s">
        <v>25</v>
      </c>
      <c r="F29" s="31" t="s">
        <v>133</v>
      </c>
      <c r="G29" s="31" t="s">
        <v>148</v>
      </c>
      <c r="H29" s="3"/>
      <c r="I29" s="31" t="s">
        <v>93</v>
      </c>
      <c r="J29" s="29">
        <v>1</v>
      </c>
      <c r="K29" s="18">
        <f t="shared" si="1"/>
        <v>1.1000000000000001</v>
      </c>
      <c r="L29" s="44" t="s">
        <v>66</v>
      </c>
      <c r="M29" s="7">
        <v>0.66</v>
      </c>
      <c r="N29" s="7">
        <f t="shared" si="0"/>
        <v>0.66</v>
      </c>
      <c r="O29" s="4"/>
      <c r="P29" s="2"/>
      <c r="Q29" s="2"/>
    </row>
    <row r="30" spans="1:17" ht="15.75" thickBot="1" x14ac:dyDescent="0.3">
      <c r="A30" s="14">
        <v>28</v>
      </c>
      <c r="B30" s="37"/>
      <c r="C30" s="35" t="s">
        <v>134</v>
      </c>
      <c r="D30" s="31" t="s">
        <v>135</v>
      </c>
      <c r="E30" s="31" t="s">
        <v>25</v>
      </c>
      <c r="F30" s="31" t="s">
        <v>136</v>
      </c>
      <c r="G30" s="31" t="s">
        <v>149</v>
      </c>
      <c r="H30" s="3" t="s">
        <v>30</v>
      </c>
      <c r="I30" s="31" t="s">
        <v>94</v>
      </c>
      <c r="J30" s="29">
        <v>1</v>
      </c>
      <c r="K30" s="18">
        <f t="shared" si="1"/>
        <v>1.1000000000000001</v>
      </c>
      <c r="L30" s="44" t="s">
        <v>177</v>
      </c>
      <c r="M30" s="7">
        <v>0.6</v>
      </c>
      <c r="N30" s="7">
        <f t="shared" si="0"/>
        <v>0.6</v>
      </c>
      <c r="O30" s="4"/>
      <c r="P30" s="2"/>
      <c r="Q30" s="2"/>
    </row>
    <row r="31" spans="1:17" ht="15.75" thickBot="1" x14ac:dyDescent="0.3">
      <c r="A31" s="14">
        <v>29</v>
      </c>
      <c r="B31" s="37" t="s">
        <v>162</v>
      </c>
      <c r="C31" s="33" t="s">
        <v>150</v>
      </c>
      <c r="D31" s="31" t="s">
        <v>6</v>
      </c>
      <c r="E31" s="31" t="s">
        <v>25</v>
      </c>
      <c r="F31" s="31" t="s">
        <v>151</v>
      </c>
      <c r="G31" s="3"/>
      <c r="H31" s="3" t="s">
        <v>30</v>
      </c>
      <c r="I31" s="10" t="s">
        <v>28</v>
      </c>
      <c r="J31" s="29">
        <v>1</v>
      </c>
      <c r="K31" s="18">
        <f t="shared" si="1"/>
        <v>1.1000000000000001</v>
      </c>
      <c r="L31" s="44" t="s">
        <v>177</v>
      </c>
      <c r="M31" s="7">
        <v>0.68</v>
      </c>
      <c r="N31" s="7">
        <f t="shared" si="0"/>
        <v>0.68</v>
      </c>
      <c r="O31" s="4"/>
      <c r="P31" s="2"/>
      <c r="Q31" s="2"/>
    </row>
    <row r="32" spans="1:17" ht="15.75" thickBot="1" x14ac:dyDescent="0.3">
      <c r="A32" s="14">
        <v>30</v>
      </c>
      <c r="B32" s="37"/>
      <c r="C32" s="33" t="s">
        <v>152</v>
      </c>
      <c r="D32" s="31" t="s">
        <v>153</v>
      </c>
      <c r="E32" s="31" t="s">
        <v>25</v>
      </c>
      <c r="F32" s="31" t="s">
        <v>154</v>
      </c>
      <c r="G32" s="3"/>
      <c r="H32" s="3" t="s">
        <v>30</v>
      </c>
      <c r="I32" s="10" t="s">
        <v>28</v>
      </c>
      <c r="J32" s="29">
        <v>1</v>
      </c>
      <c r="K32" s="18">
        <f t="shared" si="1"/>
        <v>1.1000000000000001</v>
      </c>
      <c r="L32" s="44" t="s">
        <v>66</v>
      </c>
      <c r="M32" s="7">
        <v>2.89</v>
      </c>
      <c r="N32" s="7">
        <f t="shared" si="0"/>
        <v>2.89</v>
      </c>
      <c r="O32" s="4"/>
      <c r="P32" s="2"/>
      <c r="Q32" s="2"/>
    </row>
    <row r="33" spans="1:17" ht="15.75" thickBot="1" x14ac:dyDescent="0.3">
      <c r="A33" s="14">
        <v>31</v>
      </c>
      <c r="B33" s="37"/>
      <c r="C33" s="33" t="s">
        <v>155</v>
      </c>
      <c r="D33" s="31" t="s">
        <v>156</v>
      </c>
      <c r="E33" s="31" t="s">
        <v>25</v>
      </c>
      <c r="F33" s="31" t="s">
        <v>157</v>
      </c>
      <c r="G33" s="3"/>
      <c r="H33" s="3" t="s">
        <v>30</v>
      </c>
      <c r="I33" s="10" t="s">
        <v>28</v>
      </c>
      <c r="J33" s="29">
        <v>1</v>
      </c>
      <c r="K33" s="18">
        <f t="shared" si="1"/>
        <v>1.1000000000000001</v>
      </c>
      <c r="L33" s="44" t="s">
        <v>66</v>
      </c>
      <c r="M33" s="7">
        <v>2.3199999999999998</v>
      </c>
      <c r="N33" s="7">
        <f t="shared" si="0"/>
        <v>2.3199999999999998</v>
      </c>
      <c r="O33" s="4"/>
      <c r="P33" s="2"/>
      <c r="Q33" s="2"/>
    </row>
    <row r="34" spans="1:17" ht="27" customHeight="1" thickBot="1" x14ac:dyDescent="0.35">
      <c r="J34" s="53" t="s">
        <v>178</v>
      </c>
      <c r="K34" s="53"/>
      <c r="L34" s="52"/>
      <c r="M34" s="52"/>
      <c r="N34" s="55">
        <f>SUM(N3:N32)</f>
        <v>39.413999999999994</v>
      </c>
    </row>
    <row r="35" spans="1:17" ht="22.5" customHeight="1" x14ac:dyDescent="0.3">
      <c r="J35" s="54" t="s">
        <v>27</v>
      </c>
      <c r="K35" s="54"/>
      <c r="L35" s="51"/>
      <c r="M35" s="51"/>
      <c r="N35" s="51"/>
    </row>
  </sheetData>
  <mergeCells count="11">
    <mergeCell ref="B23:B24"/>
    <mergeCell ref="J34:K34"/>
    <mergeCell ref="J35:K35"/>
    <mergeCell ref="A1:O1"/>
    <mergeCell ref="B3:B11"/>
    <mergeCell ref="B13:B14"/>
    <mergeCell ref="B15:B16"/>
    <mergeCell ref="B17:B22"/>
    <mergeCell ref="B25:B28"/>
    <mergeCell ref="B29:B30"/>
    <mergeCell ref="B31:B33"/>
  </mergeCells>
  <conditionalFormatting sqref="O18:O19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O13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K3:K3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3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33">
    <cfRule type="dataBar" priority="9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hyperlinks>
    <hyperlink ref="L3" r:id="rId1" xr:uid="{0F7D0375-3AD8-4615-AA9C-EB58423D6801}"/>
    <hyperlink ref="L4" r:id="rId2" xr:uid="{F2B6DDB9-EEDC-4965-98A2-540E6128C611}"/>
    <hyperlink ref="L5" r:id="rId3" xr:uid="{347652F2-C702-4EA8-9471-F36CB2669BD2}"/>
    <hyperlink ref="L6" r:id="rId4" xr:uid="{803E6373-9D28-43A8-BBEA-418668238ED6}"/>
    <hyperlink ref="L7" r:id="rId5" xr:uid="{96F7A754-EA19-41BA-AA54-91E629955841}"/>
    <hyperlink ref="L8" r:id="rId6" xr:uid="{69A4CE98-0924-4C6A-9C27-2CA951324700}"/>
    <hyperlink ref="L9" r:id="rId7" xr:uid="{2150E504-B76C-4232-80A8-0498F872EC63}"/>
    <hyperlink ref="L10" r:id="rId8" xr:uid="{F2B6C46D-C6FA-4DD1-B7E3-364D75E3CC23}"/>
    <hyperlink ref="L11" r:id="rId9" xr:uid="{8706286A-E31B-4355-B3BF-BA56D8B07AC8}"/>
    <hyperlink ref="L13" r:id="rId10" xr:uid="{1BAC4980-4888-4CC4-8A39-C279477430C6}"/>
    <hyperlink ref="L14" r:id="rId11" xr:uid="{DD9C1132-1CFC-467B-841A-8B8EB23A72AD}"/>
    <hyperlink ref="L15" r:id="rId12" xr:uid="{D3BCB1E4-7C93-49A8-AA4D-410721D8566C}"/>
    <hyperlink ref="L18" r:id="rId13" xr:uid="{B01FAB7A-1377-4A90-B462-B994D8C30490}"/>
    <hyperlink ref="L19" r:id="rId14" xr:uid="{51167787-A70A-4EE8-976B-9610F0AA5136}"/>
    <hyperlink ref="L20" r:id="rId15" xr:uid="{DF62D4C1-41CC-4136-BCEA-B299469CE187}"/>
    <hyperlink ref="L21" r:id="rId16" xr:uid="{B2E008A7-B4D4-46DD-8185-33DA66DA32D5}"/>
    <hyperlink ref="L22" r:id="rId17" xr:uid="{FE01A0FB-5CD1-4903-8CCD-11948FC50085}"/>
    <hyperlink ref="L25" r:id="rId18" xr:uid="{146DF010-4EBF-4034-83AE-72795F461143}"/>
    <hyperlink ref="L26" r:id="rId19" xr:uid="{2643AEA9-AA47-431D-A70C-96C7D16DAA59}"/>
    <hyperlink ref="L27" r:id="rId20" xr:uid="{1D741961-82A3-45DF-BE4A-B007CC54BA10}"/>
    <hyperlink ref="L28" r:id="rId21" xr:uid="{33162897-7E52-4C39-A8B7-1A0CD67734A7}"/>
    <hyperlink ref="L29" r:id="rId22" xr:uid="{A0FCC553-2F9A-4114-A0FD-76D942D4106D}"/>
    <hyperlink ref="L32" r:id="rId23" xr:uid="{EE86FAAE-E719-42EF-8511-4231038D3A9D}"/>
    <hyperlink ref="L33" r:id="rId24" xr:uid="{86A43CCD-F1DD-4D27-B3E9-B9CA47AC2364}"/>
    <hyperlink ref="L16" r:id="rId25" xr:uid="{B3B79FEF-ABF3-4FBF-9D2B-6120AE575171}"/>
  </hyperlinks>
  <pageMargins left="0.7" right="0.7" top="0.75" bottom="0.75" header="0.3" footer="0.3"/>
  <pageSetup orientation="portrait" r:id="rId2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O18:O19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O13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06BC-7742-43A3-A2B7-937F0383FB8A}">
  <dimension ref="A1:P35"/>
  <sheetViews>
    <sheetView topLeftCell="F1" zoomScale="82" zoomScaleNormal="82" workbookViewId="0">
      <selection activeCell="I3" sqref="I3:I33"/>
    </sheetView>
  </sheetViews>
  <sheetFormatPr defaultRowHeight="15" x14ac:dyDescent="0.25"/>
  <cols>
    <col min="2" max="2" width="19.5703125" customWidth="1"/>
    <col min="3" max="3" width="42.42578125" customWidth="1"/>
    <col min="4" max="4" width="23.85546875" customWidth="1"/>
    <col min="5" max="5" width="16.85546875" customWidth="1"/>
    <col min="6" max="6" width="28.5703125" customWidth="1"/>
    <col min="7" max="7" width="22" customWidth="1"/>
    <col min="8" max="8" width="19.7109375" customWidth="1"/>
    <col min="9" max="9" width="9.85546875" customWidth="1"/>
    <col min="10" max="11" width="19.85546875" customWidth="1"/>
    <col min="12" max="12" width="30.7109375" customWidth="1"/>
    <col min="13" max="13" width="16.5703125" customWidth="1"/>
    <col min="14" max="14" width="14" customWidth="1"/>
    <col min="15" max="15" width="18.7109375" customWidth="1"/>
    <col min="16" max="16" width="26.5703125" customWidth="1"/>
  </cols>
  <sheetData>
    <row r="1" spans="1:16" ht="16.5" thickBot="1" x14ac:dyDescent="0.3">
      <c r="A1" s="40" t="s">
        <v>163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2"/>
    </row>
    <row r="2" spans="1:16" ht="15.75" thickBot="1" x14ac:dyDescent="0.3">
      <c r="A2" s="1" t="s">
        <v>12</v>
      </c>
      <c r="B2" s="1" t="s">
        <v>13</v>
      </c>
      <c r="C2" s="1" t="s">
        <v>0</v>
      </c>
      <c r="D2" s="1" t="s">
        <v>1</v>
      </c>
      <c r="E2" s="1" t="s">
        <v>14</v>
      </c>
      <c r="F2" s="1" t="s">
        <v>3</v>
      </c>
      <c r="G2" s="1" t="s">
        <v>2</v>
      </c>
      <c r="H2" s="1" t="s">
        <v>15</v>
      </c>
      <c r="I2" s="1" t="s">
        <v>16</v>
      </c>
      <c r="J2" s="1" t="s">
        <v>17</v>
      </c>
      <c r="K2" s="1" t="s">
        <v>164</v>
      </c>
      <c r="L2" s="1" t="s">
        <v>165</v>
      </c>
      <c r="M2" s="1" t="s">
        <v>18</v>
      </c>
      <c r="N2" s="1" t="s">
        <v>174</v>
      </c>
      <c r="O2" s="1" t="s">
        <v>175</v>
      </c>
      <c r="P2" s="1" t="s">
        <v>21</v>
      </c>
    </row>
    <row r="3" spans="1:16" ht="15.75" thickBot="1" x14ac:dyDescent="0.3">
      <c r="A3" s="14">
        <v>1</v>
      </c>
      <c r="B3" s="37" t="s">
        <v>158</v>
      </c>
      <c r="C3" s="33" t="s">
        <v>67</v>
      </c>
      <c r="D3" s="31" t="s">
        <v>44</v>
      </c>
      <c r="E3" s="31" t="s">
        <v>53</v>
      </c>
      <c r="F3" s="31" t="s">
        <v>56</v>
      </c>
      <c r="G3" s="31" t="s">
        <v>64</v>
      </c>
      <c r="H3" s="10" t="s">
        <v>28</v>
      </c>
      <c r="I3" s="31" t="s">
        <v>167</v>
      </c>
      <c r="J3" s="29">
        <v>3</v>
      </c>
      <c r="K3" s="29">
        <f>J3*5</f>
        <v>15</v>
      </c>
      <c r="L3" s="18">
        <f>K3*1.1*1</f>
        <v>16.5</v>
      </c>
      <c r="M3" s="44" t="s">
        <v>66</v>
      </c>
      <c r="N3" s="7">
        <v>0.25900000000000001</v>
      </c>
      <c r="O3" s="7">
        <f>N3*L3</f>
        <v>4.2735000000000003</v>
      </c>
      <c r="P3" s="4"/>
    </row>
    <row r="4" spans="1:16" ht="60.75" thickBot="1" x14ac:dyDescent="0.3">
      <c r="A4" s="14">
        <v>2</v>
      </c>
      <c r="B4" s="37"/>
      <c r="C4" s="33" t="s">
        <v>68</v>
      </c>
      <c r="D4" s="32" t="s">
        <v>45</v>
      </c>
      <c r="E4" s="31" t="s">
        <v>53</v>
      </c>
      <c r="F4" s="31" t="s">
        <v>57</v>
      </c>
      <c r="G4" s="31" t="s">
        <v>11</v>
      </c>
      <c r="H4" s="10" t="s">
        <v>28</v>
      </c>
      <c r="I4" s="31" t="s">
        <v>168</v>
      </c>
      <c r="J4" s="29">
        <v>18</v>
      </c>
      <c r="K4" s="29">
        <f t="shared" ref="K4:K33" si="0">J4*5</f>
        <v>90</v>
      </c>
      <c r="L4" s="18">
        <f>K4*1.1*1</f>
        <v>99.000000000000014</v>
      </c>
      <c r="M4" s="44" t="s">
        <v>66</v>
      </c>
      <c r="N4" s="7">
        <v>2.5000000000000001E-2</v>
      </c>
      <c r="O4" s="7">
        <f t="shared" ref="O4:O33" si="1">N4*L4</f>
        <v>2.4750000000000005</v>
      </c>
      <c r="P4" s="4"/>
    </row>
    <row r="5" spans="1:16" ht="15.75" thickBot="1" x14ac:dyDescent="0.3">
      <c r="A5" s="14">
        <v>3</v>
      </c>
      <c r="B5" s="37"/>
      <c r="C5" s="33" t="s">
        <v>69</v>
      </c>
      <c r="D5" s="31" t="s">
        <v>46</v>
      </c>
      <c r="E5" s="31" t="s">
        <v>53</v>
      </c>
      <c r="F5" s="31" t="s">
        <v>58</v>
      </c>
      <c r="G5" s="31" t="s">
        <v>11</v>
      </c>
      <c r="H5" s="10" t="s">
        <v>28</v>
      </c>
      <c r="I5" s="31" t="s">
        <v>169</v>
      </c>
      <c r="J5" s="29">
        <v>2</v>
      </c>
      <c r="K5" s="29">
        <f t="shared" si="0"/>
        <v>10</v>
      </c>
      <c r="L5" s="18">
        <f>K5*1.1*1</f>
        <v>11</v>
      </c>
      <c r="M5" s="44" t="s">
        <v>66</v>
      </c>
      <c r="N5" s="7">
        <v>0.08</v>
      </c>
      <c r="O5" s="7">
        <f t="shared" si="1"/>
        <v>0.88</v>
      </c>
      <c r="P5" s="4"/>
    </row>
    <row r="6" spans="1:16" ht="15.75" thickBot="1" x14ac:dyDescent="0.3">
      <c r="A6" s="14">
        <v>4</v>
      </c>
      <c r="B6" s="37"/>
      <c r="C6" s="33" t="s">
        <v>70</v>
      </c>
      <c r="D6" s="31" t="s">
        <v>47</v>
      </c>
      <c r="E6" s="31" t="s">
        <v>53</v>
      </c>
      <c r="F6" s="31" t="s">
        <v>59</v>
      </c>
      <c r="G6" s="31" t="s">
        <v>5</v>
      </c>
      <c r="H6" s="10" t="s">
        <v>28</v>
      </c>
      <c r="I6" s="31" t="s">
        <v>170</v>
      </c>
      <c r="J6" s="29">
        <v>2</v>
      </c>
      <c r="K6" s="29">
        <f t="shared" si="0"/>
        <v>10</v>
      </c>
      <c r="L6" s="18">
        <f>K6*1.1*1</f>
        <v>11</v>
      </c>
      <c r="M6" s="44" t="s">
        <v>66</v>
      </c>
      <c r="N6" s="7">
        <v>0.13500000000000001</v>
      </c>
      <c r="O6" s="7">
        <f t="shared" si="1"/>
        <v>1.4850000000000001</v>
      </c>
      <c r="P6" s="4"/>
    </row>
    <row r="7" spans="1:16" ht="15.75" thickBot="1" x14ac:dyDescent="0.3">
      <c r="A7" s="14">
        <v>5</v>
      </c>
      <c r="B7" s="37"/>
      <c r="C7" s="33" t="s">
        <v>71</v>
      </c>
      <c r="D7" s="31" t="s">
        <v>48</v>
      </c>
      <c r="E7" s="31" t="s">
        <v>53</v>
      </c>
      <c r="F7" s="31" t="s">
        <v>60</v>
      </c>
      <c r="G7" s="31" t="s">
        <v>11</v>
      </c>
      <c r="H7" s="10" t="s">
        <v>28</v>
      </c>
      <c r="I7" s="31" t="s">
        <v>171</v>
      </c>
      <c r="J7" s="29">
        <v>4</v>
      </c>
      <c r="K7" s="29">
        <f t="shared" si="0"/>
        <v>20</v>
      </c>
      <c r="L7" s="18">
        <f>K7*1.1*1</f>
        <v>22</v>
      </c>
      <c r="M7" s="44" t="s">
        <v>66</v>
      </c>
      <c r="N7" s="7">
        <v>3.9E-2</v>
      </c>
      <c r="O7" s="7">
        <f t="shared" si="1"/>
        <v>0.85799999999999998</v>
      </c>
      <c r="P7" s="4"/>
    </row>
    <row r="8" spans="1:16" ht="15.75" thickBot="1" x14ac:dyDescent="0.3">
      <c r="A8" s="14">
        <v>6</v>
      </c>
      <c r="B8" s="37"/>
      <c r="C8" s="33" t="s">
        <v>72</v>
      </c>
      <c r="D8" s="31" t="s">
        <v>49</v>
      </c>
      <c r="E8" s="31" t="s">
        <v>54</v>
      </c>
      <c r="F8" s="31" t="s">
        <v>61</v>
      </c>
      <c r="G8" s="31" t="s">
        <v>29</v>
      </c>
      <c r="H8" s="10"/>
      <c r="I8" s="31" t="s">
        <v>170</v>
      </c>
      <c r="J8" s="29">
        <v>1</v>
      </c>
      <c r="K8" s="29">
        <f t="shared" si="0"/>
        <v>5</v>
      </c>
      <c r="L8" s="18">
        <f>K8*1.1*1</f>
        <v>5.5</v>
      </c>
      <c r="M8" s="44" t="s">
        <v>66</v>
      </c>
      <c r="N8" s="7">
        <v>0.22</v>
      </c>
      <c r="O8" s="7">
        <f t="shared" si="1"/>
        <v>1.21</v>
      </c>
      <c r="P8" s="4"/>
    </row>
    <row r="9" spans="1:16" ht="15.75" thickBot="1" x14ac:dyDescent="0.3">
      <c r="A9" s="14">
        <v>7</v>
      </c>
      <c r="B9" s="37"/>
      <c r="C9" s="33" t="s">
        <v>73</v>
      </c>
      <c r="D9" s="31" t="s">
        <v>50</v>
      </c>
      <c r="E9" s="31" t="s">
        <v>53</v>
      </c>
      <c r="F9" s="31" t="s">
        <v>62</v>
      </c>
      <c r="G9" s="31" t="s">
        <v>4</v>
      </c>
      <c r="H9" s="10"/>
      <c r="I9" s="31" t="s">
        <v>172</v>
      </c>
      <c r="J9" s="29">
        <v>1</v>
      </c>
      <c r="K9" s="29">
        <f t="shared" si="0"/>
        <v>5</v>
      </c>
      <c r="L9" s="18">
        <f>K9*1.1*1</f>
        <v>5.5</v>
      </c>
      <c r="M9" s="44" t="s">
        <v>66</v>
      </c>
      <c r="N9" s="7">
        <v>0.82</v>
      </c>
      <c r="O9" s="7">
        <f t="shared" si="1"/>
        <v>4.51</v>
      </c>
      <c r="P9" s="4"/>
    </row>
    <row r="10" spans="1:16" ht="15.75" thickBot="1" x14ac:dyDescent="0.3">
      <c r="A10" s="14">
        <v>8</v>
      </c>
      <c r="B10" s="37"/>
      <c r="C10" s="33" t="s">
        <v>74</v>
      </c>
      <c r="D10" s="31" t="s">
        <v>51</v>
      </c>
      <c r="E10" s="31" t="s">
        <v>40</v>
      </c>
      <c r="F10" s="31" t="s">
        <v>63</v>
      </c>
      <c r="G10" s="31" t="s">
        <v>11</v>
      </c>
      <c r="H10" s="10" t="s">
        <v>30</v>
      </c>
      <c r="I10" s="31" t="s">
        <v>173</v>
      </c>
      <c r="J10" s="29">
        <v>1</v>
      </c>
      <c r="K10" s="29">
        <f t="shared" si="0"/>
        <v>5</v>
      </c>
      <c r="L10" s="18">
        <f>K10*1.1*1</f>
        <v>5.5</v>
      </c>
      <c r="M10" s="44" t="s">
        <v>66</v>
      </c>
      <c r="N10" s="7">
        <v>0.1</v>
      </c>
      <c r="O10" s="7">
        <f t="shared" si="1"/>
        <v>0.55000000000000004</v>
      </c>
      <c r="P10" s="4"/>
    </row>
    <row r="11" spans="1:16" ht="15.75" thickBot="1" x14ac:dyDescent="0.3">
      <c r="A11" s="14">
        <v>9</v>
      </c>
      <c r="B11" s="37"/>
      <c r="C11" s="33" t="s">
        <v>75</v>
      </c>
      <c r="D11" s="31" t="s">
        <v>52</v>
      </c>
      <c r="E11" s="31" t="s">
        <v>25</v>
      </c>
      <c r="F11" s="31" t="s">
        <v>55</v>
      </c>
      <c r="G11" s="31" t="s">
        <v>65</v>
      </c>
      <c r="H11" s="10" t="s">
        <v>28</v>
      </c>
      <c r="I11" s="31" t="s">
        <v>169</v>
      </c>
      <c r="J11" s="29">
        <v>1</v>
      </c>
      <c r="K11" s="29">
        <f t="shared" si="0"/>
        <v>5</v>
      </c>
      <c r="L11" s="18">
        <f>K11*1.1*1</f>
        <v>5.5</v>
      </c>
      <c r="M11" s="44" t="s">
        <v>66</v>
      </c>
      <c r="N11" s="7">
        <v>0.83</v>
      </c>
      <c r="O11" s="7">
        <f t="shared" si="1"/>
        <v>4.5649999999999995</v>
      </c>
      <c r="P11" s="4"/>
    </row>
    <row r="12" spans="1:16" ht="15.75" thickBot="1" x14ac:dyDescent="0.3">
      <c r="A12" s="14">
        <v>10</v>
      </c>
      <c r="B12" s="36" t="s">
        <v>22</v>
      </c>
      <c r="C12" s="34" t="s">
        <v>141</v>
      </c>
      <c r="D12" s="31" t="s">
        <v>76</v>
      </c>
      <c r="E12" s="31" t="s">
        <v>77</v>
      </c>
      <c r="F12" s="31" t="s">
        <v>78</v>
      </c>
      <c r="G12" s="31" t="s">
        <v>79</v>
      </c>
      <c r="H12" s="10" t="s">
        <v>176</v>
      </c>
      <c r="I12" s="10" t="s">
        <v>28</v>
      </c>
      <c r="J12" s="29">
        <v>1</v>
      </c>
      <c r="K12" s="29">
        <f t="shared" si="0"/>
        <v>5</v>
      </c>
      <c r="L12" s="18">
        <f>K12*1.1*1</f>
        <v>5.5</v>
      </c>
      <c r="M12" s="45" t="s">
        <v>66</v>
      </c>
      <c r="N12" s="8">
        <v>0.35</v>
      </c>
      <c r="O12" s="7">
        <f t="shared" si="1"/>
        <v>1.9249999999999998</v>
      </c>
      <c r="P12" s="6"/>
    </row>
    <row r="13" spans="1:16" ht="15.75" thickBot="1" x14ac:dyDescent="0.3">
      <c r="A13" s="14">
        <v>11</v>
      </c>
      <c r="B13" s="37" t="s">
        <v>36</v>
      </c>
      <c r="C13" s="35" t="s">
        <v>140</v>
      </c>
      <c r="D13" s="31" t="s">
        <v>34</v>
      </c>
      <c r="E13" s="31" t="s">
        <v>95</v>
      </c>
      <c r="F13" s="31" t="s">
        <v>80</v>
      </c>
      <c r="G13" s="31" t="s">
        <v>29</v>
      </c>
      <c r="H13" s="15" t="s">
        <v>30</v>
      </c>
      <c r="I13" s="30"/>
      <c r="J13" s="29">
        <v>1</v>
      </c>
      <c r="K13" s="29">
        <f t="shared" si="0"/>
        <v>5</v>
      </c>
      <c r="L13" s="18">
        <f>K13*1.1*1</f>
        <v>5.5</v>
      </c>
      <c r="M13" s="46" t="s">
        <v>66</v>
      </c>
      <c r="N13" s="17">
        <v>0.21</v>
      </c>
      <c r="O13" s="7">
        <f t="shared" si="1"/>
        <v>1.155</v>
      </c>
      <c r="P13" s="20"/>
    </row>
    <row r="14" spans="1:16" ht="15.75" thickBot="1" x14ac:dyDescent="0.3">
      <c r="A14" s="14">
        <v>12</v>
      </c>
      <c r="B14" s="37"/>
      <c r="C14" s="35" t="s">
        <v>96</v>
      </c>
      <c r="D14" s="31" t="s">
        <v>35</v>
      </c>
      <c r="E14" s="31" t="s">
        <v>25</v>
      </c>
      <c r="F14" s="31" t="s">
        <v>97</v>
      </c>
      <c r="G14" s="31" t="s">
        <v>7</v>
      </c>
      <c r="H14" s="10" t="s">
        <v>30</v>
      </c>
      <c r="I14" s="31" t="s">
        <v>81</v>
      </c>
      <c r="J14" s="29">
        <v>1</v>
      </c>
      <c r="K14" s="29">
        <f t="shared" si="0"/>
        <v>5</v>
      </c>
      <c r="L14" s="18">
        <f>K14*1.1*1</f>
        <v>5.5</v>
      </c>
      <c r="M14" s="46" t="s">
        <v>66</v>
      </c>
      <c r="N14" s="7">
        <v>2.4900000000000002</v>
      </c>
      <c r="O14" s="7">
        <f t="shared" si="1"/>
        <v>13.695</v>
      </c>
      <c r="P14" s="4"/>
    </row>
    <row r="15" spans="1:16" ht="15.75" thickBot="1" x14ac:dyDescent="0.3">
      <c r="A15" s="14">
        <v>13</v>
      </c>
      <c r="B15" s="37" t="s">
        <v>159</v>
      </c>
      <c r="C15" s="35" t="s">
        <v>138</v>
      </c>
      <c r="D15" s="31" t="s">
        <v>98</v>
      </c>
      <c r="E15" s="31" t="s">
        <v>99</v>
      </c>
      <c r="F15" s="31" t="s">
        <v>82</v>
      </c>
      <c r="G15" s="31" t="s">
        <v>143</v>
      </c>
      <c r="H15" s="12" t="s">
        <v>30</v>
      </c>
      <c r="I15" s="10" t="s">
        <v>28</v>
      </c>
      <c r="J15" s="29">
        <v>1</v>
      </c>
      <c r="K15" s="29">
        <f t="shared" si="0"/>
        <v>5</v>
      </c>
      <c r="L15" s="18">
        <f>K15*1.1*1</f>
        <v>5.5</v>
      </c>
      <c r="M15" s="46" t="s">
        <v>66</v>
      </c>
      <c r="N15" s="8">
        <v>0.52</v>
      </c>
      <c r="O15" s="7">
        <f t="shared" si="1"/>
        <v>2.8600000000000003</v>
      </c>
      <c r="P15" s="6"/>
    </row>
    <row r="16" spans="1:16" ht="15.75" thickBot="1" x14ac:dyDescent="0.3">
      <c r="A16" s="14">
        <v>14</v>
      </c>
      <c r="B16" s="37"/>
      <c r="C16" s="35" t="s">
        <v>100</v>
      </c>
      <c r="D16" s="31" t="s">
        <v>101</v>
      </c>
      <c r="E16" s="31" t="s">
        <v>99</v>
      </c>
      <c r="F16" s="31" t="s">
        <v>83</v>
      </c>
      <c r="G16" s="31" t="s">
        <v>143</v>
      </c>
      <c r="H16" s="22" t="s">
        <v>33</v>
      </c>
      <c r="I16" s="10" t="s">
        <v>28</v>
      </c>
      <c r="J16" s="29">
        <v>1</v>
      </c>
      <c r="K16" s="29">
        <f t="shared" si="0"/>
        <v>5</v>
      </c>
      <c r="L16" s="18">
        <f>K16*1.1*1</f>
        <v>5.5</v>
      </c>
      <c r="M16" s="47" t="s">
        <v>66</v>
      </c>
      <c r="N16" s="23">
        <v>0.55000000000000004</v>
      </c>
      <c r="O16" s="7">
        <f t="shared" si="1"/>
        <v>3.0250000000000004</v>
      </c>
      <c r="P16" s="24"/>
    </row>
    <row r="17" spans="1:16" ht="15.75" thickBot="1" x14ac:dyDescent="0.3">
      <c r="A17" s="14">
        <v>15</v>
      </c>
      <c r="B17" s="37" t="s">
        <v>23</v>
      </c>
      <c r="C17" s="35" t="s">
        <v>102</v>
      </c>
      <c r="D17" s="31" t="s">
        <v>103</v>
      </c>
      <c r="E17" s="31" t="s">
        <v>104</v>
      </c>
      <c r="F17" s="31" t="s">
        <v>105</v>
      </c>
      <c r="G17" s="31" t="s">
        <v>11</v>
      </c>
      <c r="H17" s="11" t="s">
        <v>33</v>
      </c>
      <c r="I17" s="31" t="s">
        <v>10</v>
      </c>
      <c r="J17" s="29">
        <v>1</v>
      </c>
      <c r="K17" s="29">
        <f t="shared" si="0"/>
        <v>5</v>
      </c>
      <c r="L17" s="18">
        <f>K17*1.1*1</f>
        <v>5.5</v>
      </c>
      <c r="M17" s="45" t="s">
        <v>66</v>
      </c>
      <c r="N17" s="13">
        <v>0.1</v>
      </c>
      <c r="O17" s="7">
        <f t="shared" si="1"/>
        <v>0.55000000000000004</v>
      </c>
      <c r="P17" s="25"/>
    </row>
    <row r="18" spans="1:16" ht="15.75" thickBot="1" x14ac:dyDescent="0.3">
      <c r="A18" s="14">
        <v>16</v>
      </c>
      <c r="B18" s="37"/>
      <c r="C18" s="35" t="s">
        <v>106</v>
      </c>
      <c r="D18" s="31" t="s">
        <v>107</v>
      </c>
      <c r="E18" s="31" t="s">
        <v>40</v>
      </c>
      <c r="F18" s="31" t="s">
        <v>108</v>
      </c>
      <c r="G18" s="31" t="s">
        <v>11</v>
      </c>
      <c r="H18" s="16"/>
      <c r="I18" s="31" t="s">
        <v>32</v>
      </c>
      <c r="J18" s="29">
        <v>48</v>
      </c>
      <c r="K18" s="29">
        <f t="shared" si="0"/>
        <v>240</v>
      </c>
      <c r="L18" s="18">
        <f>K18*1.1*1</f>
        <v>264</v>
      </c>
      <c r="M18" s="47" t="s">
        <v>66</v>
      </c>
      <c r="N18" s="17">
        <v>9.7000000000000003E-3</v>
      </c>
      <c r="O18" s="7">
        <f t="shared" si="1"/>
        <v>2.5608</v>
      </c>
      <c r="P18" s="20"/>
    </row>
    <row r="19" spans="1:16" ht="15.75" thickBot="1" x14ac:dyDescent="0.3">
      <c r="A19" s="14">
        <v>17</v>
      </c>
      <c r="B19" s="37"/>
      <c r="C19" s="35" t="s">
        <v>109</v>
      </c>
      <c r="D19" s="31" t="s">
        <v>110</v>
      </c>
      <c r="E19" s="31" t="s">
        <v>9</v>
      </c>
      <c r="F19" s="31" t="s">
        <v>111</v>
      </c>
      <c r="G19" s="31" t="s">
        <v>11</v>
      </c>
      <c r="H19" s="5" t="s">
        <v>28</v>
      </c>
      <c r="I19" s="31" t="s">
        <v>8</v>
      </c>
      <c r="J19" s="29">
        <v>82</v>
      </c>
      <c r="K19" s="29">
        <f t="shared" si="0"/>
        <v>410</v>
      </c>
      <c r="L19" s="18">
        <f>K19*1.1*1</f>
        <v>451.00000000000006</v>
      </c>
      <c r="M19" s="47" t="s">
        <v>66</v>
      </c>
      <c r="N19" s="8">
        <v>6.6E-3</v>
      </c>
      <c r="O19" s="7">
        <f t="shared" si="1"/>
        <v>2.9766000000000004</v>
      </c>
      <c r="P19" s="27"/>
    </row>
    <row r="20" spans="1:16" ht="15.75" thickBot="1" x14ac:dyDescent="0.3">
      <c r="A20" s="14">
        <v>18</v>
      </c>
      <c r="B20" s="37"/>
      <c r="C20" s="35" t="s">
        <v>137</v>
      </c>
      <c r="D20" s="31" t="s">
        <v>112</v>
      </c>
      <c r="E20" s="31" t="s">
        <v>40</v>
      </c>
      <c r="F20" s="31" t="s">
        <v>113</v>
      </c>
      <c r="G20" s="31" t="s">
        <v>31</v>
      </c>
      <c r="H20" s="26"/>
      <c r="I20" s="31" t="s">
        <v>84</v>
      </c>
      <c r="J20" s="29">
        <v>1</v>
      </c>
      <c r="K20" s="29">
        <f t="shared" si="0"/>
        <v>5</v>
      </c>
      <c r="L20" s="18">
        <f>K20*1.1*1</f>
        <v>5.5</v>
      </c>
      <c r="M20" s="47" t="s">
        <v>66</v>
      </c>
      <c r="N20" s="17">
        <v>0.1</v>
      </c>
      <c r="O20" s="7">
        <f t="shared" si="1"/>
        <v>0.55000000000000004</v>
      </c>
      <c r="P20" s="26"/>
    </row>
    <row r="21" spans="1:16" ht="15.75" thickBot="1" x14ac:dyDescent="0.3">
      <c r="A21" s="14">
        <v>19</v>
      </c>
      <c r="B21" s="37"/>
      <c r="C21" s="35" t="s">
        <v>114</v>
      </c>
      <c r="D21" s="31" t="s">
        <v>115</v>
      </c>
      <c r="E21" s="31" t="s">
        <v>40</v>
      </c>
      <c r="F21" s="31" t="s">
        <v>116</v>
      </c>
      <c r="G21" s="31" t="s">
        <v>11</v>
      </c>
      <c r="H21" s="3" t="s">
        <v>30</v>
      </c>
      <c r="I21" s="31" t="s">
        <v>85</v>
      </c>
      <c r="J21" s="29">
        <v>1</v>
      </c>
      <c r="K21" s="29">
        <f t="shared" si="0"/>
        <v>5</v>
      </c>
      <c r="L21" s="18">
        <f>K21*1.1*1</f>
        <v>5.5</v>
      </c>
      <c r="M21" s="47" t="s">
        <v>66</v>
      </c>
      <c r="N21" s="7">
        <v>0.1</v>
      </c>
      <c r="O21" s="7">
        <f t="shared" si="1"/>
        <v>0.55000000000000004</v>
      </c>
      <c r="P21" s="4"/>
    </row>
    <row r="22" spans="1:16" ht="15.75" thickBot="1" x14ac:dyDescent="0.3">
      <c r="A22" s="14">
        <v>20</v>
      </c>
      <c r="B22" s="37"/>
      <c r="C22" s="35" t="s">
        <v>117</v>
      </c>
      <c r="D22" s="31" t="s">
        <v>118</v>
      </c>
      <c r="E22" s="31" t="s">
        <v>40</v>
      </c>
      <c r="F22" s="31" t="s">
        <v>119</v>
      </c>
      <c r="G22" s="31" t="s">
        <v>11</v>
      </c>
      <c r="H22" s="3" t="s">
        <v>30</v>
      </c>
      <c r="I22" s="31" t="s">
        <v>86</v>
      </c>
      <c r="J22" s="29">
        <v>1</v>
      </c>
      <c r="K22" s="29">
        <f t="shared" si="0"/>
        <v>5</v>
      </c>
      <c r="L22" s="18">
        <f>K22*1.1*1</f>
        <v>5.5</v>
      </c>
      <c r="M22" s="44" t="s">
        <v>66</v>
      </c>
      <c r="N22" s="7">
        <v>0.1</v>
      </c>
      <c r="O22" s="7">
        <f t="shared" si="1"/>
        <v>0.55000000000000004</v>
      </c>
      <c r="P22" s="4"/>
    </row>
    <row r="23" spans="1:16" ht="15.75" thickBot="1" x14ac:dyDescent="0.3">
      <c r="A23" s="14">
        <v>21</v>
      </c>
      <c r="B23" s="37" t="s">
        <v>160</v>
      </c>
      <c r="C23" s="35" t="s">
        <v>120</v>
      </c>
      <c r="D23" s="31" t="s">
        <v>121</v>
      </c>
      <c r="E23" s="31" t="s">
        <v>25</v>
      </c>
      <c r="F23" s="31" t="s">
        <v>87</v>
      </c>
      <c r="G23" s="31" t="s">
        <v>42</v>
      </c>
      <c r="H23" s="3" t="s">
        <v>30</v>
      </c>
      <c r="I23" s="10" t="s">
        <v>28</v>
      </c>
      <c r="J23" s="29">
        <v>2</v>
      </c>
      <c r="K23" s="29">
        <f t="shared" si="0"/>
        <v>10</v>
      </c>
      <c r="L23" s="18">
        <f>K23*1.1*1</f>
        <v>11</v>
      </c>
      <c r="M23" s="48" t="s">
        <v>177</v>
      </c>
      <c r="N23" s="7">
        <v>1.23</v>
      </c>
      <c r="O23" s="7">
        <f t="shared" si="1"/>
        <v>13.53</v>
      </c>
      <c r="P23" s="4"/>
    </row>
    <row r="24" spans="1:16" ht="15.75" thickBot="1" x14ac:dyDescent="0.3">
      <c r="A24" s="14">
        <v>22</v>
      </c>
      <c r="B24" s="37"/>
      <c r="C24" s="35" t="s">
        <v>139</v>
      </c>
      <c r="D24" s="31" t="s">
        <v>122</v>
      </c>
      <c r="E24" s="31" t="s">
        <v>25</v>
      </c>
      <c r="F24" s="31" t="s">
        <v>88</v>
      </c>
      <c r="G24" s="31" t="s">
        <v>144</v>
      </c>
      <c r="H24" s="3" t="s">
        <v>30</v>
      </c>
      <c r="I24" s="10" t="s">
        <v>28</v>
      </c>
      <c r="J24" s="29">
        <v>1</v>
      </c>
      <c r="K24" s="29">
        <f t="shared" si="0"/>
        <v>5</v>
      </c>
      <c r="L24" s="18">
        <f>K24*1.1*1</f>
        <v>5.5</v>
      </c>
      <c r="M24" s="48" t="s">
        <v>177</v>
      </c>
      <c r="N24" s="7">
        <v>0.45</v>
      </c>
      <c r="O24" s="7">
        <f t="shared" si="1"/>
        <v>2.4750000000000001</v>
      </c>
      <c r="P24" s="4"/>
    </row>
    <row r="25" spans="1:16" ht="15.75" thickBot="1" x14ac:dyDescent="0.3">
      <c r="A25" s="14">
        <v>23</v>
      </c>
      <c r="B25" s="37" t="s">
        <v>24</v>
      </c>
      <c r="C25" s="35" t="s">
        <v>123</v>
      </c>
      <c r="D25" s="31" t="s">
        <v>37</v>
      </c>
      <c r="E25" s="31" t="s">
        <v>124</v>
      </c>
      <c r="F25" s="31" t="s">
        <v>89</v>
      </c>
      <c r="G25" s="31" t="s">
        <v>145</v>
      </c>
      <c r="H25" s="3" t="s">
        <v>30</v>
      </c>
      <c r="I25" s="10" t="s">
        <v>28</v>
      </c>
      <c r="J25" s="29">
        <v>1</v>
      </c>
      <c r="K25" s="29">
        <f t="shared" si="0"/>
        <v>5</v>
      </c>
      <c r="L25" s="18">
        <f>K25*1.1*1</f>
        <v>5.5</v>
      </c>
      <c r="M25" s="44" t="s">
        <v>66</v>
      </c>
      <c r="N25" s="7">
        <v>1.61</v>
      </c>
      <c r="O25" s="7">
        <f t="shared" si="1"/>
        <v>8.8550000000000004</v>
      </c>
      <c r="P25" s="4"/>
    </row>
    <row r="26" spans="1:16" ht="15.75" thickBot="1" x14ac:dyDescent="0.3">
      <c r="A26" s="14">
        <v>24</v>
      </c>
      <c r="B26" s="37"/>
      <c r="C26" s="35" t="s">
        <v>125</v>
      </c>
      <c r="D26" s="31" t="s">
        <v>39</v>
      </c>
      <c r="E26" s="31" t="s">
        <v>126</v>
      </c>
      <c r="F26" s="31" t="s">
        <v>90</v>
      </c>
      <c r="G26" s="31" t="s">
        <v>146</v>
      </c>
      <c r="H26" s="3" t="s">
        <v>30</v>
      </c>
      <c r="I26" s="10" t="s">
        <v>28</v>
      </c>
      <c r="J26" s="29">
        <v>1</v>
      </c>
      <c r="K26" s="29">
        <f t="shared" si="0"/>
        <v>5</v>
      </c>
      <c r="L26" s="18">
        <f>K26*1.1*1</f>
        <v>5.5</v>
      </c>
      <c r="M26" s="44" t="s">
        <v>66</v>
      </c>
      <c r="N26" s="7">
        <v>15.942</v>
      </c>
      <c r="O26" s="7">
        <f t="shared" si="1"/>
        <v>87.680999999999997</v>
      </c>
      <c r="P26" s="4"/>
    </row>
    <row r="27" spans="1:16" ht="15.75" thickBot="1" x14ac:dyDescent="0.3">
      <c r="A27" s="14">
        <v>25</v>
      </c>
      <c r="B27" s="37"/>
      <c r="C27" s="35" t="s">
        <v>127</v>
      </c>
      <c r="D27" s="31" t="s">
        <v>128</v>
      </c>
      <c r="E27" s="31" t="s">
        <v>129</v>
      </c>
      <c r="F27" s="31" t="s">
        <v>91</v>
      </c>
      <c r="G27" s="31" t="s">
        <v>38</v>
      </c>
      <c r="H27" s="3" t="s">
        <v>30</v>
      </c>
      <c r="I27" s="10" t="s">
        <v>28</v>
      </c>
      <c r="J27" s="29">
        <v>5</v>
      </c>
      <c r="K27" s="29">
        <f t="shared" si="0"/>
        <v>25</v>
      </c>
      <c r="L27" s="18">
        <f>K27*1.1*1</f>
        <v>27.500000000000004</v>
      </c>
      <c r="M27" s="44" t="s">
        <v>66</v>
      </c>
      <c r="N27" s="7">
        <v>1.7704</v>
      </c>
      <c r="O27" s="7">
        <f t="shared" si="1"/>
        <v>48.686000000000007</v>
      </c>
      <c r="P27" s="4"/>
    </row>
    <row r="28" spans="1:16" ht="15.75" thickBot="1" x14ac:dyDescent="0.3">
      <c r="A28" s="14">
        <v>26</v>
      </c>
      <c r="B28" s="37"/>
      <c r="C28" s="35" t="s">
        <v>130</v>
      </c>
      <c r="D28" s="31" t="s">
        <v>41</v>
      </c>
      <c r="E28" s="31" t="s">
        <v>131</v>
      </c>
      <c r="F28" s="31" t="s">
        <v>92</v>
      </c>
      <c r="G28" s="31" t="s">
        <v>147</v>
      </c>
      <c r="H28" s="3" t="s">
        <v>30</v>
      </c>
      <c r="I28" s="10" t="s">
        <v>28</v>
      </c>
      <c r="J28" s="29">
        <v>1</v>
      </c>
      <c r="K28" s="29">
        <f t="shared" si="0"/>
        <v>5</v>
      </c>
      <c r="L28" s="18">
        <f>K28*1.1*1</f>
        <v>5.5</v>
      </c>
      <c r="M28" s="44" t="s">
        <v>66</v>
      </c>
      <c r="N28" s="7">
        <v>2.1800000000000002</v>
      </c>
      <c r="O28" s="7">
        <f t="shared" si="1"/>
        <v>11.99</v>
      </c>
      <c r="P28" s="4"/>
    </row>
    <row r="29" spans="1:16" ht="15.75" thickBot="1" x14ac:dyDescent="0.3">
      <c r="A29" s="14">
        <v>27</v>
      </c>
      <c r="B29" s="37" t="s">
        <v>161</v>
      </c>
      <c r="C29" s="35" t="s">
        <v>142</v>
      </c>
      <c r="D29" s="31" t="s">
        <v>132</v>
      </c>
      <c r="E29" s="31" t="s">
        <v>25</v>
      </c>
      <c r="F29" s="31" t="s">
        <v>133</v>
      </c>
      <c r="G29" s="31" t="s">
        <v>148</v>
      </c>
      <c r="H29" s="3"/>
      <c r="I29" s="31" t="s">
        <v>93</v>
      </c>
      <c r="J29" s="29">
        <v>1</v>
      </c>
      <c r="K29" s="29">
        <f t="shared" si="0"/>
        <v>5</v>
      </c>
      <c r="L29" s="18">
        <f>K29*1.1*1</f>
        <v>5.5</v>
      </c>
      <c r="M29" s="44" t="s">
        <v>66</v>
      </c>
      <c r="N29" s="7">
        <v>0.66</v>
      </c>
      <c r="O29" s="7">
        <f t="shared" si="1"/>
        <v>3.6300000000000003</v>
      </c>
      <c r="P29" s="4"/>
    </row>
    <row r="30" spans="1:16" ht="15.75" thickBot="1" x14ac:dyDescent="0.3">
      <c r="A30" s="14">
        <v>28</v>
      </c>
      <c r="B30" s="37"/>
      <c r="C30" s="35" t="s">
        <v>134</v>
      </c>
      <c r="D30" s="31" t="s">
        <v>135</v>
      </c>
      <c r="E30" s="31" t="s">
        <v>25</v>
      </c>
      <c r="F30" s="31" t="s">
        <v>136</v>
      </c>
      <c r="G30" s="31" t="s">
        <v>149</v>
      </c>
      <c r="H30" s="3" t="s">
        <v>30</v>
      </c>
      <c r="I30" s="31" t="s">
        <v>94</v>
      </c>
      <c r="J30" s="29">
        <v>1</v>
      </c>
      <c r="K30" s="29">
        <f t="shared" si="0"/>
        <v>5</v>
      </c>
      <c r="L30" s="18">
        <f>K30*1.1*1</f>
        <v>5.5</v>
      </c>
      <c r="M30" s="44" t="s">
        <v>177</v>
      </c>
      <c r="N30" s="7">
        <v>0.6</v>
      </c>
      <c r="O30" s="7">
        <f t="shared" si="1"/>
        <v>3.3</v>
      </c>
      <c r="P30" s="4"/>
    </row>
    <row r="31" spans="1:16" ht="15.75" thickBot="1" x14ac:dyDescent="0.3">
      <c r="A31" s="14">
        <v>29</v>
      </c>
      <c r="B31" s="37" t="s">
        <v>162</v>
      </c>
      <c r="C31" s="33" t="s">
        <v>150</v>
      </c>
      <c r="D31" s="31" t="s">
        <v>6</v>
      </c>
      <c r="E31" s="31" t="s">
        <v>25</v>
      </c>
      <c r="F31" s="31" t="s">
        <v>151</v>
      </c>
      <c r="G31" s="43" t="s">
        <v>42</v>
      </c>
      <c r="H31" s="3" t="s">
        <v>30</v>
      </c>
      <c r="I31" s="10" t="s">
        <v>28</v>
      </c>
      <c r="J31" s="29">
        <v>1</v>
      </c>
      <c r="K31" s="29">
        <f t="shared" si="0"/>
        <v>5</v>
      </c>
      <c r="L31" s="18">
        <f>K31*1.1*1</f>
        <v>5.5</v>
      </c>
      <c r="M31" s="44" t="s">
        <v>177</v>
      </c>
      <c r="N31" s="7">
        <v>0.68</v>
      </c>
      <c r="O31" s="7">
        <f t="shared" si="1"/>
        <v>3.74</v>
      </c>
      <c r="P31" s="4"/>
    </row>
    <row r="32" spans="1:16" ht="15.75" thickBot="1" x14ac:dyDescent="0.3">
      <c r="A32" s="14">
        <v>30</v>
      </c>
      <c r="B32" s="37"/>
      <c r="C32" s="33" t="s">
        <v>152</v>
      </c>
      <c r="D32" s="31" t="s">
        <v>153</v>
      </c>
      <c r="E32" s="31" t="s">
        <v>25</v>
      </c>
      <c r="F32" s="31" t="s">
        <v>154</v>
      </c>
      <c r="G32" s="43" t="s">
        <v>65</v>
      </c>
      <c r="H32" s="3" t="s">
        <v>30</v>
      </c>
      <c r="I32" s="10" t="s">
        <v>28</v>
      </c>
      <c r="J32" s="29">
        <v>1</v>
      </c>
      <c r="K32" s="29">
        <f t="shared" si="0"/>
        <v>5</v>
      </c>
      <c r="L32" s="18">
        <f>K32*1.1*1</f>
        <v>5.5</v>
      </c>
      <c r="M32" s="44" t="s">
        <v>66</v>
      </c>
      <c r="N32" s="7">
        <v>2.89</v>
      </c>
      <c r="O32" s="7">
        <f t="shared" si="1"/>
        <v>15.895000000000001</v>
      </c>
      <c r="P32" s="4"/>
    </row>
    <row r="33" spans="1:16" ht="15.75" thickBot="1" x14ac:dyDescent="0.3">
      <c r="A33" s="14">
        <v>31</v>
      </c>
      <c r="B33" s="37"/>
      <c r="C33" s="33" t="s">
        <v>155</v>
      </c>
      <c r="D33" s="31" t="s">
        <v>156</v>
      </c>
      <c r="E33" s="31" t="s">
        <v>25</v>
      </c>
      <c r="F33" s="31" t="s">
        <v>157</v>
      </c>
      <c r="G33" s="43" t="s">
        <v>166</v>
      </c>
      <c r="H33" s="3" t="s">
        <v>30</v>
      </c>
      <c r="I33" s="10" t="s">
        <v>28</v>
      </c>
      <c r="J33" s="29">
        <v>1</v>
      </c>
      <c r="K33" s="29">
        <f t="shared" si="0"/>
        <v>5</v>
      </c>
      <c r="L33" s="18">
        <f>K33*1.1*1</f>
        <v>5.5</v>
      </c>
      <c r="M33" s="44" t="s">
        <v>66</v>
      </c>
      <c r="N33" s="7">
        <v>2.3199999999999998</v>
      </c>
      <c r="O33" s="7">
        <f t="shared" si="1"/>
        <v>12.76</v>
      </c>
      <c r="P33" s="4"/>
    </row>
    <row r="34" spans="1:16" ht="19.5" thickBot="1" x14ac:dyDescent="0.35">
      <c r="K34" s="38" t="s">
        <v>26</v>
      </c>
      <c r="L34" s="38"/>
      <c r="M34" s="38"/>
      <c r="N34" s="28"/>
      <c r="O34" s="49">
        <f>SUM(O3:O33)</f>
        <v>263.74590000000001</v>
      </c>
    </row>
    <row r="35" spans="1:16" ht="18.75" x14ac:dyDescent="0.3">
      <c r="K35" s="39" t="s">
        <v>27</v>
      </c>
      <c r="L35" s="39"/>
      <c r="M35" s="39"/>
      <c r="N35" s="28"/>
      <c r="O35" s="50">
        <f>O34/5</f>
        <v>52.749180000000003</v>
      </c>
    </row>
  </sheetData>
  <mergeCells count="11">
    <mergeCell ref="K34:M34"/>
    <mergeCell ref="K35:M35"/>
    <mergeCell ref="B25:B28"/>
    <mergeCell ref="B29:B30"/>
    <mergeCell ref="B31:B33"/>
    <mergeCell ref="A1:P1"/>
    <mergeCell ref="B3:B11"/>
    <mergeCell ref="B13:B14"/>
    <mergeCell ref="B15:B16"/>
    <mergeCell ref="B17:B22"/>
    <mergeCell ref="B23:B24"/>
  </mergeCells>
  <conditionalFormatting sqref="P18:P19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{4C9C326B-4C56-4FAB-AAC4-1C2AD82307C7}</x14:id>
        </ext>
      </extLst>
    </cfRule>
  </conditionalFormatting>
  <conditionalFormatting sqref="P1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{1E9729DE-FAF6-438D-9713-9DF30B90E9D9}</x14:id>
        </ext>
      </extLst>
    </cfRule>
  </conditionalFormatting>
  <conditionalFormatting sqref="O3:O33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{E573F2D8-CA7D-4C0C-885C-5E9D1158098B}</x14:id>
        </ext>
      </extLst>
    </cfRule>
  </conditionalFormatting>
  <conditionalFormatting sqref="J3:L33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L33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M3" r:id="rId1" xr:uid="{B1752D39-89A9-4082-B874-D65D3BC9F5DA}"/>
    <hyperlink ref="M4" r:id="rId2" xr:uid="{921668A6-1D9E-4E0E-946C-1E6CF56FB8AA}"/>
    <hyperlink ref="M5" r:id="rId3" xr:uid="{C50DC204-DEAA-4BA4-BACA-FF71D45C694C}"/>
    <hyperlink ref="M6" r:id="rId4" xr:uid="{0943F332-0468-453E-9658-9CE0E9F6ED0B}"/>
    <hyperlink ref="M7" r:id="rId5" xr:uid="{8CC148CB-BF5F-4235-9461-5E90DD998403}"/>
    <hyperlink ref="M8" r:id="rId6" xr:uid="{F7B275A1-7B58-4FAD-8706-EDD3A4F9ED7B}"/>
    <hyperlink ref="M9" r:id="rId7" xr:uid="{9DDAA0F3-84B5-4D1F-A73D-1797B02CB98D}"/>
    <hyperlink ref="M10" r:id="rId8" xr:uid="{5A51F7B5-9D85-4964-AF26-9EB35C089AEB}"/>
    <hyperlink ref="M11" r:id="rId9" xr:uid="{2FA810A0-CF08-4DAE-A8ED-B0CB143DF84F}"/>
    <hyperlink ref="M13" r:id="rId10" xr:uid="{F209E743-770E-4AF2-A591-982C26735A37}"/>
    <hyperlink ref="M14" r:id="rId11" xr:uid="{EA316CCC-AF0C-444A-8388-ADFB1F81DEA2}"/>
    <hyperlink ref="M15" r:id="rId12" xr:uid="{18935911-9585-4D2E-9ACF-934BB8CD1528}"/>
    <hyperlink ref="M18" r:id="rId13" xr:uid="{9247D385-C534-4D78-A28B-F204F06F7A40}"/>
    <hyperlink ref="M19" r:id="rId14" xr:uid="{94C99D65-1E50-4022-AF44-06E80A48C8E7}"/>
    <hyperlink ref="M20" r:id="rId15" xr:uid="{AA52BB48-5B34-4AF1-B5B1-E5ECD5BAAA87}"/>
    <hyperlink ref="M21" r:id="rId16" xr:uid="{14448CA4-EE9E-4E7C-B9BF-E1836CFD3AC7}"/>
    <hyperlink ref="M22" r:id="rId17" xr:uid="{A9F2716D-A3DA-46D8-814D-A57BC85C5C3E}"/>
    <hyperlink ref="M25" r:id="rId18" xr:uid="{537E70FD-A523-4176-BE23-D66A7B3B3BF3}"/>
    <hyperlink ref="M26" r:id="rId19" xr:uid="{CBEE91F5-5FC9-4B5A-B1A4-9EEC28142308}"/>
    <hyperlink ref="M27" r:id="rId20" xr:uid="{4310048A-73BE-4BBF-8A84-6B6844BE6301}"/>
    <hyperlink ref="M28" r:id="rId21" xr:uid="{45F56E6F-BEE1-4AFA-AFCC-3DE3DB66E12F}"/>
    <hyperlink ref="M29" r:id="rId22" xr:uid="{0549F7B6-771C-42FD-BD71-9F86CC68C485}"/>
    <hyperlink ref="M32" r:id="rId23" xr:uid="{73BBF769-8D35-4D8B-B201-EF4B8BF0FDBC}"/>
    <hyperlink ref="M33" r:id="rId24" xr:uid="{1C20FDA2-49D9-4BA4-AD77-6BC31C3F926E}"/>
    <hyperlink ref="M16" r:id="rId25" xr:uid="{23C278A1-AFA5-45DC-9B9B-3D1AE5BEC733}"/>
  </hyperlinks>
  <pageMargins left="0.7" right="0.7" top="0.75" bottom="0.75" header="0.3" footer="0.3"/>
  <pageSetup orientation="portrait" r:id="rId2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9C326B-4C56-4FAB-AAC4-1C2AD82307C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P18:P19</xm:sqref>
        </x14:conditionalFormatting>
        <x14:conditionalFormatting xmlns:xm="http://schemas.microsoft.com/office/excel/2006/main">
          <x14:cfRule type="dataBar" id="{1E9729DE-FAF6-438D-9713-9DF30B90E9D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P13</xm:sqref>
        </x14:conditionalFormatting>
        <x14:conditionalFormatting xmlns:xm="http://schemas.microsoft.com/office/excel/2006/main">
          <x14:cfRule type="dataBar" id="{E573F2D8-CA7D-4C0C-885C-5E9D115809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O3:O33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Single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2021-05-17T11:34:06Z</dcterms:created>
  <dcterms:modified xsi:type="dcterms:W3CDTF">2022-03-31T08:48:24Z</dcterms:modified>
</cp:coreProperties>
</file>