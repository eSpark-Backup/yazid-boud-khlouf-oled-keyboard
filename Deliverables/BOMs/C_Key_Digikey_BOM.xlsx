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eSpark\YazidBoukhlouf-OLEDKeyboard\Deliverables\BOMs\"/>
    </mc:Choice>
  </mc:AlternateContent>
  <xr:revisionPtr revIDLastSave="0" documentId="13_ncr:1_{CECF04EF-3217-4B4B-8748-5CA0EAC983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ngle Board" sheetId="1" r:id="rId1"/>
    <sheet name="5 Boa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2" l="1"/>
  <c r="O3" i="2" s="1"/>
  <c r="L5" i="2"/>
  <c r="O6" i="2"/>
  <c r="L7" i="2"/>
  <c r="L9" i="2"/>
  <c r="O10" i="2"/>
  <c r="L11" i="2"/>
  <c r="L13" i="2"/>
  <c r="O14" i="2"/>
  <c r="L15" i="2"/>
  <c r="L17" i="2"/>
  <c r="O18" i="2"/>
  <c r="L19" i="2"/>
  <c r="L21" i="2"/>
  <c r="O22" i="2"/>
  <c r="L23" i="2"/>
  <c r="L25" i="2"/>
  <c r="O26" i="2"/>
  <c r="L27" i="2"/>
  <c r="L29" i="2"/>
  <c r="O30" i="2"/>
  <c r="L31" i="2"/>
  <c r="L33" i="2"/>
  <c r="O33" i="2"/>
  <c r="O32" i="2"/>
  <c r="L32" i="2"/>
  <c r="O31" i="2"/>
  <c r="L30" i="2"/>
  <c r="O29" i="2"/>
  <c r="O28" i="2"/>
  <c r="L28" i="2"/>
  <c r="O27" i="2"/>
  <c r="L26" i="2"/>
  <c r="O25" i="2"/>
  <c r="O24" i="2"/>
  <c r="L24" i="2"/>
  <c r="O23" i="2"/>
  <c r="L22" i="2"/>
  <c r="O21" i="2"/>
  <c r="O20" i="2"/>
  <c r="L20" i="2"/>
  <c r="O19" i="2"/>
  <c r="L18" i="2"/>
  <c r="O17" i="2"/>
  <c r="O16" i="2"/>
  <c r="L16" i="2"/>
  <c r="O15" i="2"/>
  <c r="L14" i="2"/>
  <c r="O13" i="2"/>
  <c r="O12" i="2"/>
  <c r="L12" i="2"/>
  <c r="O11" i="2"/>
  <c r="L10" i="2"/>
  <c r="O9" i="2"/>
  <c r="O8" i="2"/>
  <c r="L8" i="2"/>
  <c r="O7" i="2"/>
  <c r="L6" i="2"/>
  <c r="O5" i="2"/>
  <c r="O4" i="2"/>
  <c r="L4" i="2"/>
  <c r="K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" i="1"/>
  <c r="L3" i="2" l="1"/>
</calcChain>
</file>

<file path=xl/sharedStrings.xml><?xml version="1.0" encoding="utf-8"?>
<sst xmlns="http://schemas.openxmlformats.org/spreadsheetml/2006/main" count="442" uniqueCount="167">
  <si>
    <t>Description</t>
  </si>
  <si>
    <t>Designator</t>
  </si>
  <si>
    <t>Manufacturer</t>
  </si>
  <si>
    <t>Manufacturer Part Number</t>
  </si>
  <si>
    <t>TDK</t>
  </si>
  <si>
    <t>Murata</t>
  </si>
  <si>
    <t>J1</t>
  </si>
  <si>
    <t>Wurth Electronics</t>
  </si>
  <si>
    <t>47K</t>
  </si>
  <si>
    <t>Res0402</t>
  </si>
  <si>
    <t>0R</t>
  </si>
  <si>
    <t>Yageo</t>
  </si>
  <si>
    <t>S. No.</t>
  </si>
  <si>
    <t>Components</t>
  </si>
  <si>
    <t>Footprint (Package)</t>
  </si>
  <si>
    <t>Alternate</t>
  </si>
  <si>
    <t>Value</t>
  </si>
  <si>
    <t>Quantity (Per Board)</t>
  </si>
  <si>
    <t>DigiKey Link</t>
  </si>
  <si>
    <t>Unit Cost(1)</t>
  </si>
  <si>
    <t>Total Cost(1)</t>
  </si>
  <si>
    <t>Remarks</t>
  </si>
  <si>
    <t>Diode</t>
  </si>
  <si>
    <t>Resistor</t>
  </si>
  <si>
    <t>Ics</t>
  </si>
  <si>
    <t>Custom</t>
  </si>
  <si>
    <t xml:space="preserve">Total Component Cost </t>
  </si>
  <si>
    <t>Single Board Cost</t>
  </si>
  <si>
    <t>----------</t>
  </si>
  <si>
    <t>Taiyo Yuden</t>
  </si>
  <si>
    <t>---------</t>
  </si>
  <si>
    <t>Stackpole Electronics</t>
  </si>
  <si>
    <t>10K</t>
  </si>
  <si>
    <t>-------</t>
  </si>
  <si>
    <t>L1</t>
  </si>
  <si>
    <t>L2</t>
  </si>
  <si>
    <t>Inductor</t>
  </si>
  <si>
    <t>U1</t>
  </si>
  <si>
    <t>Texas Instruments</t>
  </si>
  <si>
    <t>U2</t>
  </si>
  <si>
    <t>Res0603</t>
  </si>
  <si>
    <t>U8</t>
  </si>
  <si>
    <t>XKB Connectivity</t>
  </si>
  <si>
    <t>Desired Quantity Single Board</t>
  </si>
  <si>
    <t>Bill of Material (BOM) for Reference Format</t>
  </si>
  <si>
    <t>C1, C13, C32</t>
  </si>
  <si>
    <t>C2, C3, C4, C5, C6, C7, C8, C9, C10, C18, C21, C22, C23, C24, C25, C30, C31, C33</t>
  </si>
  <si>
    <t>C11, C12</t>
  </si>
  <si>
    <t>C14, C15</t>
  </si>
  <si>
    <t>C16, C17, C19, C20</t>
  </si>
  <si>
    <t>C26</t>
  </si>
  <si>
    <t>C27</t>
  </si>
  <si>
    <t>C28</t>
  </si>
  <si>
    <t>C29</t>
  </si>
  <si>
    <t>Cap0603</t>
  </si>
  <si>
    <t>Cap 0402</t>
  </si>
  <si>
    <t>F981E105MMA</t>
  </si>
  <si>
    <t>CL10A475KA8NQNC</t>
  </si>
  <si>
    <t>CC0603ZRY5V9BB104</t>
  </si>
  <si>
    <t>CC0603KRX5R8BB105</t>
  </si>
  <si>
    <t>GRM188R6YA225KA12D</t>
  </si>
  <si>
    <t>CC0603JRNPO9BN100</t>
  </si>
  <si>
    <t>EMK105ABJ225KV-F</t>
  </si>
  <si>
    <t>C1608X5R1E106M080AC</t>
  </si>
  <si>
    <t>CC0603KRX7R9BB221</t>
  </si>
  <si>
    <t>Samsung</t>
  </si>
  <si>
    <t>Kyocera AVX</t>
  </si>
  <si>
    <t>Digi-Key</t>
  </si>
  <si>
    <t>RSComponents</t>
  </si>
  <si>
    <t>CAP CER 4.7UF 25V X5R 0603</t>
  </si>
  <si>
    <t>CAP CER 0.1UF 50V Y5V 0603</t>
  </si>
  <si>
    <t>CAP CER 1UF 25V X5R 0603</t>
  </si>
  <si>
    <t>CAP, 2.2µF, 35V, 10%, X5R, 0603</t>
  </si>
  <si>
    <t>CAP CER 10PF 50V NP0 0603</t>
  </si>
  <si>
    <t>CAP CER 2.2UF 16V X5R 0402</t>
  </si>
  <si>
    <t>CAP CER 10UF 25V X5R 0603</t>
  </si>
  <si>
    <t>RES SMD 220pF ±10% 50V X7R 0603</t>
  </si>
  <si>
    <t>CAP TANT 1UF 20% 25V 0603</t>
  </si>
  <si>
    <t>D1</t>
  </si>
  <si>
    <t>SOD123</t>
  </si>
  <si>
    <t>MBR0520</t>
  </si>
  <si>
    <t>Yangzhou</t>
  </si>
  <si>
    <t>FBMH1608HL121-TV</t>
  </si>
  <si>
    <t>3.3UH</t>
  </si>
  <si>
    <t>FDN338P</t>
  </si>
  <si>
    <t>FDN335N</t>
  </si>
  <si>
    <t>51K</t>
  </si>
  <si>
    <t>68K</t>
  </si>
  <si>
    <t>13.3K</t>
  </si>
  <si>
    <t>SS-3235D-03-L2</t>
  </si>
  <si>
    <t>TS-1185EC-C-D-B</t>
  </si>
  <si>
    <t>S-1172B33-E6T1U</t>
  </si>
  <si>
    <t>STM32F407VGT7TR</t>
  </si>
  <si>
    <t>TCA9548APWR</t>
  </si>
  <si>
    <t>LM27313XMF/NOPB</t>
  </si>
  <si>
    <t>32.768KHz</t>
  </si>
  <si>
    <t>25MHz</t>
  </si>
  <si>
    <t>IND 0603</t>
  </si>
  <si>
    <t>FIXED IND 3.3UH 8A 11.8 MOHM SMD</t>
  </si>
  <si>
    <t>74437368033</t>
  </si>
  <si>
    <t>Q1</t>
  </si>
  <si>
    <t>SOT23-3</t>
  </si>
  <si>
    <t>SOT-23 MOSFETs ROHS</t>
  </si>
  <si>
    <t>Q2</t>
  </si>
  <si>
    <t>RES SMD 0 OHM JUMPER 1/20W 0201</t>
  </si>
  <si>
    <t>R1</t>
  </si>
  <si>
    <t>Res-0201</t>
  </si>
  <si>
    <t>RC0201JR-070RL</t>
  </si>
  <si>
    <t>RES SMD 10K OHM 5% 1/10W 0603</t>
  </si>
  <si>
    <t>R2, R3, R6, R7, R8, R9, R10, R11, R12, R13, R14, R15, R16, R17, R18, R19, R20, R21, R22, R23, R24, R25, R26, R27, R28, R29, R30, R31, R32, R33, R34, R35, R36, R37, R38, R39, R40, R41, R42, R110, R111, R112, R113, R114, R115, R116, R117, R118</t>
  </si>
  <si>
    <t>AC0603JR-0710KL</t>
  </si>
  <si>
    <t>RES SMD 47K OHM 1% 1/16W 0402</t>
  </si>
  <si>
    <t>R4, R5, R43, R44, R45, R46, R47, R48, R49, R50, R51, R52, R53, R54, R55, R56, R57, R58, R59, R60, R61, R62, R63, R64, R65, R66, R67, R68, R69, R70, R71, R72, R73, R74, R75, R76, R77, R78, R79, R80, R81, R82, R83, R84, R85, R86, R87, R88, R89, R90, R91, R92, R93, R94, R95, R96, R97, R98, R99, R100, R101, R102, R103, R104, R105, R106, R107, R108, R109, R120, R121, R122, R123, R124, R125, R126, R127, R128, R129, R130, R131, R132</t>
  </si>
  <si>
    <t>RC0402FR-0747KL</t>
  </si>
  <si>
    <t>R133</t>
  </si>
  <si>
    <t>RMCF0603FT51K0</t>
  </si>
  <si>
    <t>RES SMD 68K OHM 1% 1/10W 0603</t>
  </si>
  <si>
    <t>RF1</t>
  </si>
  <si>
    <t>RC0603FR-0768KL</t>
  </si>
  <si>
    <t>RES SMD 13.3K OHM 1% 1/10W 0603</t>
  </si>
  <si>
    <t>RF2</t>
  </si>
  <si>
    <t>AC0603FR-0713K3L</t>
  </si>
  <si>
    <t>SPDT 50mA @ 12VDC 12V On-On SMD Toggle Switches RoHS</t>
  </si>
  <si>
    <t>SW1, SW2</t>
  </si>
  <si>
    <t>SW3</t>
  </si>
  <si>
    <t>IC REG LINEAR 3.3V 1A 6HSOP</t>
  </si>
  <si>
    <t>HSOP-6</t>
  </si>
  <si>
    <t>IC MCU 32BIT 1MB FLASH 100LQFP</t>
  </si>
  <si>
    <t>LQFP-100</t>
  </si>
  <si>
    <t>IC BUS SWITCH 1 X 8:1 24TSSOP</t>
  </si>
  <si>
    <t>U3, U4, U5, U6, U7</t>
  </si>
  <si>
    <t>24-TSSOP</t>
  </si>
  <si>
    <t>IC REG BOOST ADJ 0.8A SOT23-5</t>
  </si>
  <si>
    <t>SOT23-5</t>
  </si>
  <si>
    <t>X1</t>
  </si>
  <si>
    <t>Q13FC1350000200</t>
  </si>
  <si>
    <t>25MHz SMD Crystal Resonator 10pF 40Ω ±10ppm</t>
  </si>
  <si>
    <t>X2</t>
  </si>
  <si>
    <t>S3225000101040</t>
  </si>
  <si>
    <t>Res SMD 0603 51K Ohm 1% 0.1W</t>
  </si>
  <si>
    <t>20V 1.6A 500mW ,1.6A P Channel SOT-23</t>
  </si>
  <si>
    <t>3mm 2mm Round Button 50mA SPST 12V SMD Tactile Switches</t>
  </si>
  <si>
    <t>Ferrite Beads 120Ohm 25% 100MHz 1.2A 0. 0603</t>
  </si>
  <si>
    <t>20V 450mV@500mA 500mA SOD-123 SBD</t>
  </si>
  <si>
    <t>32.768kHz SMD Crystal Resonator 7pF 70kΩ</t>
  </si>
  <si>
    <t>UMW</t>
  </si>
  <si>
    <t>XKB</t>
  </si>
  <si>
    <t>ABLIC</t>
  </si>
  <si>
    <t>STMicroelectronics</t>
  </si>
  <si>
    <t>TI National Semiconductor</t>
  </si>
  <si>
    <t>Seiko Epson</t>
  </si>
  <si>
    <t>JGHC</t>
  </si>
  <si>
    <t>USB 3.0 1 9 Male Type-A SMD USB Connectors ROHS</t>
  </si>
  <si>
    <t>U231-091N-4BLRA00-S</t>
  </si>
  <si>
    <t>0.5MM PITCH - 80 POS - RIGHT ANG</t>
  </si>
  <si>
    <t>J2</t>
  </si>
  <si>
    <t>046288080000846+</t>
  </si>
  <si>
    <t>CONN FFC FPC 26POS 0.50MM R/A</t>
  </si>
  <si>
    <t>J3</t>
  </si>
  <si>
    <t>FH34SRJ-26S-0.5SH(50)</t>
  </si>
  <si>
    <t>Capacitors</t>
  </si>
  <si>
    <t>Transistors</t>
  </si>
  <si>
    <t>Switches</t>
  </si>
  <si>
    <t>Crystals</t>
  </si>
  <si>
    <t>Connectors</t>
  </si>
  <si>
    <t>Bill of Material (BOM) for Custom Keyboard</t>
  </si>
  <si>
    <t>Quantity (Per 5 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</si>
</sst>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00"/>
    <numFmt numFmtId="165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0" fillId="0" borderId="0" xfId="0" applyFont="1"/>
    <xf numFmtId="0" fontId="4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1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1" quotePrefix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0" fontId="6" fillId="0" borderId="6" xfId="0" quotePrefix="1" applyFont="1" applyFill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0" fontId="7" fillId="0" borderId="7" xfId="1" quotePrefix="1" applyFont="1" applyBorder="1" applyAlignment="1">
      <alignment horizontal="center" vertical="center"/>
    </xf>
    <xf numFmtId="165" fontId="9" fillId="3" borderId="7" xfId="0" applyNumberFormat="1" applyFont="1" applyFill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6" fillId="0" borderId="7" xfId="0" quotePrefix="1" applyFon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6" xfId="0" applyFont="1" applyBorder="1"/>
    <xf numFmtId="0" fontId="6" fillId="0" borderId="7" xfId="0" applyFont="1" applyBorder="1" applyAlignment="1">
      <alignment horizontal="center" vertical="center"/>
    </xf>
    <xf numFmtId="165" fontId="9" fillId="3" borderId="6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wrapText="1"/>
    </xf>
    <xf numFmtId="0" fontId="8" fillId="3" borderId="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/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0" xfId="0" quotePrefix="1" applyBorder="1"/>
    <xf numFmtId="0" fontId="0" fillId="0" borderId="10" xfId="0" quotePrefix="1" applyBorder="1" applyAlignment="1">
      <alignment horizontal="left" vertical="top"/>
    </xf>
    <xf numFmtId="0" fontId="0" fillId="0" borderId="10" xfId="0" quotePrefix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G1" zoomScale="86" zoomScaleNormal="85" workbookViewId="0">
      <selection activeCell="J3" sqref="J3:J33"/>
    </sheetView>
  </sheetViews>
  <sheetFormatPr defaultRowHeight="15" x14ac:dyDescent="0.25"/>
  <cols>
    <col min="1" max="1" width="6.140625" style="11" bestFit="1" customWidth="1"/>
    <col min="2" max="2" width="14.42578125" customWidth="1"/>
    <col min="3" max="3" width="47.7109375" customWidth="1"/>
    <col min="4" max="4" width="33.85546875" customWidth="1"/>
    <col min="5" max="5" width="20" customWidth="1"/>
    <col min="6" max="6" width="27.5703125" customWidth="1"/>
    <col min="7" max="7" width="26.140625" customWidth="1"/>
    <col min="8" max="8" width="18.7109375" bestFit="1" customWidth="1"/>
    <col min="9" max="9" width="6.140625" bestFit="1" customWidth="1"/>
    <col min="10" max="10" width="19.42578125" bestFit="1" customWidth="1"/>
    <col min="11" max="11" width="28" bestFit="1" customWidth="1"/>
    <col min="12" max="12" width="11.7109375" bestFit="1" customWidth="1"/>
    <col min="13" max="13" width="11.5703125" bestFit="1" customWidth="1"/>
    <col min="14" max="14" width="12.140625" bestFit="1" customWidth="1"/>
    <col min="15" max="16" width="12.140625" customWidth="1"/>
    <col min="17" max="17" width="48.28515625" bestFit="1" customWidth="1"/>
  </cols>
  <sheetData>
    <row r="1" spans="1:19" ht="16.5" thickBot="1" x14ac:dyDescent="0.3">
      <c r="A1" s="34" t="s">
        <v>44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6"/>
    </row>
    <row r="2" spans="1:19" ht="15.75" thickBot="1" x14ac:dyDescent="0.3">
      <c r="A2" s="1" t="s">
        <v>12</v>
      </c>
      <c r="B2" s="1" t="s">
        <v>13</v>
      </c>
      <c r="C2" s="1" t="s">
        <v>0</v>
      </c>
      <c r="D2" s="1" t="s">
        <v>1</v>
      </c>
      <c r="E2" s="1" t="s">
        <v>14</v>
      </c>
      <c r="F2" s="1" t="s">
        <v>3</v>
      </c>
      <c r="G2" s="1" t="s">
        <v>2</v>
      </c>
      <c r="H2" s="1" t="s">
        <v>15</v>
      </c>
      <c r="I2" s="1" t="s">
        <v>16</v>
      </c>
      <c r="J2" s="1" t="s">
        <v>17</v>
      </c>
      <c r="K2" s="1" t="s">
        <v>43</v>
      </c>
      <c r="L2" s="1" t="s">
        <v>18</v>
      </c>
      <c r="M2" s="1" t="s">
        <v>19</v>
      </c>
      <c r="N2" s="1" t="s">
        <v>20</v>
      </c>
      <c r="O2" s="1"/>
      <c r="P2" s="1"/>
      <c r="Q2" s="1" t="s">
        <v>21</v>
      </c>
    </row>
    <row r="3" spans="1:19" ht="15.75" thickBot="1" x14ac:dyDescent="0.3">
      <c r="A3" s="16">
        <v>1</v>
      </c>
      <c r="B3" s="44" t="s">
        <v>160</v>
      </c>
      <c r="C3" s="41" t="s">
        <v>69</v>
      </c>
      <c r="D3" s="39" t="s">
        <v>45</v>
      </c>
      <c r="E3" s="39" t="s">
        <v>54</v>
      </c>
      <c r="F3" s="39" t="s">
        <v>57</v>
      </c>
      <c r="G3" s="39" t="s">
        <v>65</v>
      </c>
      <c r="H3" s="12" t="s">
        <v>28</v>
      </c>
      <c r="I3" s="3"/>
      <c r="J3" s="37">
        <v>3</v>
      </c>
      <c r="K3" s="21">
        <f>J3*1.1*1</f>
        <v>3.3000000000000003</v>
      </c>
      <c r="L3" s="39" t="s">
        <v>67</v>
      </c>
      <c r="M3" s="9"/>
      <c r="N3" s="9">
        <f>M3*J3</f>
        <v>0</v>
      </c>
      <c r="O3" s="9"/>
      <c r="P3" s="9"/>
      <c r="Q3" s="4"/>
      <c r="R3" s="2"/>
      <c r="S3" s="2"/>
    </row>
    <row r="4" spans="1:19" ht="45.75" thickBot="1" x14ac:dyDescent="0.3">
      <c r="A4" s="16">
        <v>2</v>
      </c>
      <c r="B4" s="44"/>
      <c r="C4" s="41" t="s">
        <v>70</v>
      </c>
      <c r="D4" s="40" t="s">
        <v>46</v>
      </c>
      <c r="E4" s="39" t="s">
        <v>54</v>
      </c>
      <c r="F4" s="39" t="s">
        <v>58</v>
      </c>
      <c r="G4" s="39" t="s">
        <v>11</v>
      </c>
      <c r="H4" s="12" t="s">
        <v>28</v>
      </c>
      <c r="I4" s="3"/>
      <c r="J4" s="37">
        <v>18</v>
      </c>
      <c r="K4" s="21">
        <f>J4*1.1*1</f>
        <v>19.8</v>
      </c>
      <c r="L4" s="39" t="s">
        <v>67</v>
      </c>
      <c r="M4" s="9"/>
      <c r="N4" s="9">
        <f t="shared" ref="N4:N33" si="0">M4*J4</f>
        <v>0</v>
      </c>
      <c r="O4" s="9"/>
      <c r="P4" s="9"/>
      <c r="Q4" s="4"/>
      <c r="R4" s="2"/>
      <c r="S4" s="2"/>
    </row>
    <row r="5" spans="1:19" ht="15.75" thickBot="1" x14ac:dyDescent="0.3">
      <c r="A5" s="16">
        <v>3</v>
      </c>
      <c r="B5" s="44"/>
      <c r="C5" s="41" t="s">
        <v>71</v>
      </c>
      <c r="D5" s="39" t="s">
        <v>47</v>
      </c>
      <c r="E5" s="39" t="s">
        <v>54</v>
      </c>
      <c r="F5" s="39" t="s">
        <v>59</v>
      </c>
      <c r="G5" s="39" t="s">
        <v>11</v>
      </c>
      <c r="H5" s="12" t="s">
        <v>28</v>
      </c>
      <c r="I5" s="3"/>
      <c r="J5" s="37">
        <v>2</v>
      </c>
      <c r="K5" s="21">
        <f t="shared" ref="K4:K33" si="1">J5*1.1*1</f>
        <v>2.2000000000000002</v>
      </c>
      <c r="L5" s="39" t="s">
        <v>67</v>
      </c>
      <c r="M5" s="9"/>
      <c r="N5" s="9">
        <f t="shared" si="0"/>
        <v>0</v>
      </c>
      <c r="O5" s="9"/>
      <c r="P5" s="9"/>
      <c r="Q5" s="4"/>
      <c r="R5" s="2"/>
      <c r="S5" s="2"/>
    </row>
    <row r="6" spans="1:19" ht="15.75" thickBot="1" x14ac:dyDescent="0.3">
      <c r="A6" s="16">
        <v>4</v>
      </c>
      <c r="B6" s="44"/>
      <c r="C6" s="41" t="s">
        <v>72</v>
      </c>
      <c r="D6" s="39" t="s">
        <v>48</v>
      </c>
      <c r="E6" s="39" t="s">
        <v>54</v>
      </c>
      <c r="F6" s="39" t="s">
        <v>60</v>
      </c>
      <c r="G6" s="39" t="s">
        <v>5</v>
      </c>
      <c r="H6" s="12" t="s">
        <v>28</v>
      </c>
      <c r="I6" s="3"/>
      <c r="J6" s="37">
        <v>2</v>
      </c>
      <c r="K6" s="21">
        <f t="shared" si="1"/>
        <v>2.2000000000000002</v>
      </c>
      <c r="L6" s="39" t="s">
        <v>67</v>
      </c>
      <c r="M6" s="9"/>
      <c r="N6" s="9">
        <f t="shared" si="0"/>
        <v>0</v>
      </c>
      <c r="O6" s="9"/>
      <c r="P6" s="9"/>
      <c r="Q6" s="4"/>
      <c r="R6" s="2"/>
      <c r="S6" s="2"/>
    </row>
    <row r="7" spans="1:19" ht="15.75" thickBot="1" x14ac:dyDescent="0.3">
      <c r="A7" s="16">
        <v>5</v>
      </c>
      <c r="B7" s="44"/>
      <c r="C7" s="41" t="s">
        <v>73</v>
      </c>
      <c r="D7" s="39" t="s">
        <v>49</v>
      </c>
      <c r="E7" s="39" t="s">
        <v>54</v>
      </c>
      <c r="F7" s="39" t="s">
        <v>61</v>
      </c>
      <c r="G7" s="39" t="s">
        <v>11</v>
      </c>
      <c r="H7" s="12" t="s">
        <v>28</v>
      </c>
      <c r="I7" s="3"/>
      <c r="J7" s="37">
        <v>4</v>
      </c>
      <c r="K7" s="21">
        <f t="shared" si="1"/>
        <v>4.4000000000000004</v>
      </c>
      <c r="L7" s="39" t="s">
        <v>67</v>
      </c>
      <c r="M7" s="9"/>
      <c r="N7" s="9">
        <f t="shared" si="0"/>
        <v>0</v>
      </c>
      <c r="O7" s="9"/>
      <c r="P7" s="9"/>
      <c r="Q7" s="4"/>
      <c r="R7" s="2"/>
      <c r="S7" s="2"/>
    </row>
    <row r="8" spans="1:19" ht="15.75" thickBot="1" x14ac:dyDescent="0.3">
      <c r="A8" s="16">
        <v>6</v>
      </c>
      <c r="B8" s="44"/>
      <c r="C8" s="41" t="s">
        <v>74</v>
      </c>
      <c r="D8" s="39" t="s">
        <v>50</v>
      </c>
      <c r="E8" s="39" t="s">
        <v>55</v>
      </c>
      <c r="F8" s="39" t="s">
        <v>62</v>
      </c>
      <c r="G8" s="39" t="s">
        <v>29</v>
      </c>
      <c r="H8" s="12"/>
      <c r="I8" s="3"/>
      <c r="J8" s="37">
        <v>1</v>
      </c>
      <c r="K8" s="21">
        <f t="shared" si="1"/>
        <v>1.1000000000000001</v>
      </c>
      <c r="L8" s="39" t="s">
        <v>67</v>
      </c>
      <c r="M8" s="9"/>
      <c r="N8" s="9">
        <f t="shared" si="0"/>
        <v>0</v>
      </c>
      <c r="O8" s="9"/>
      <c r="P8" s="9"/>
      <c r="Q8" s="4"/>
      <c r="R8" s="2"/>
      <c r="S8" s="2"/>
    </row>
    <row r="9" spans="1:19" ht="15.75" thickBot="1" x14ac:dyDescent="0.3">
      <c r="A9" s="16">
        <v>7</v>
      </c>
      <c r="B9" s="44"/>
      <c r="C9" s="41" t="s">
        <v>75</v>
      </c>
      <c r="D9" s="39" t="s">
        <v>51</v>
      </c>
      <c r="E9" s="39" t="s">
        <v>54</v>
      </c>
      <c r="F9" s="39" t="s">
        <v>63</v>
      </c>
      <c r="G9" s="39" t="s">
        <v>4</v>
      </c>
      <c r="H9" s="12"/>
      <c r="I9" s="3"/>
      <c r="J9" s="37">
        <v>1</v>
      </c>
      <c r="K9" s="21">
        <f t="shared" si="1"/>
        <v>1.1000000000000001</v>
      </c>
      <c r="L9" s="39" t="s">
        <v>67</v>
      </c>
      <c r="M9" s="9"/>
      <c r="N9" s="9">
        <f t="shared" si="0"/>
        <v>0</v>
      </c>
      <c r="O9" s="9"/>
      <c r="P9" s="9"/>
      <c r="Q9" s="4"/>
      <c r="R9" s="2"/>
      <c r="S9" s="2"/>
    </row>
    <row r="10" spans="1:19" ht="15.75" thickBot="1" x14ac:dyDescent="0.3">
      <c r="A10" s="16">
        <v>8</v>
      </c>
      <c r="B10" s="44"/>
      <c r="C10" s="41" t="s">
        <v>76</v>
      </c>
      <c r="D10" s="39" t="s">
        <v>52</v>
      </c>
      <c r="E10" s="39" t="s">
        <v>40</v>
      </c>
      <c r="F10" s="39" t="s">
        <v>64</v>
      </c>
      <c r="G10" s="39" t="s">
        <v>11</v>
      </c>
      <c r="H10" s="12" t="s">
        <v>30</v>
      </c>
      <c r="I10" s="3"/>
      <c r="J10" s="37">
        <v>1</v>
      </c>
      <c r="K10" s="21">
        <f t="shared" si="1"/>
        <v>1.1000000000000001</v>
      </c>
      <c r="L10" s="39" t="s">
        <v>68</v>
      </c>
      <c r="M10" s="9"/>
      <c r="N10" s="9">
        <f t="shared" si="0"/>
        <v>0</v>
      </c>
      <c r="O10" s="9"/>
      <c r="P10" s="9"/>
      <c r="Q10" s="4"/>
      <c r="R10" s="2"/>
      <c r="S10" s="2"/>
    </row>
    <row r="11" spans="1:19" ht="15.75" thickBot="1" x14ac:dyDescent="0.3">
      <c r="A11" s="16">
        <v>9</v>
      </c>
      <c r="B11" s="44"/>
      <c r="C11" s="41" t="s">
        <v>77</v>
      </c>
      <c r="D11" s="39" t="s">
        <v>53</v>
      </c>
      <c r="E11" s="39" t="s">
        <v>25</v>
      </c>
      <c r="F11" s="39" t="s">
        <v>56</v>
      </c>
      <c r="G11" s="39" t="s">
        <v>66</v>
      </c>
      <c r="H11" s="12" t="s">
        <v>28</v>
      </c>
      <c r="I11" s="3"/>
      <c r="J11" s="37">
        <v>1</v>
      </c>
      <c r="K11" s="21">
        <f t="shared" si="1"/>
        <v>1.1000000000000001</v>
      </c>
      <c r="L11" s="39" t="s">
        <v>67</v>
      </c>
      <c r="M11" s="9"/>
      <c r="N11" s="9">
        <f t="shared" si="0"/>
        <v>0</v>
      </c>
      <c r="O11" s="9"/>
      <c r="P11" s="9"/>
      <c r="Q11" s="4"/>
      <c r="R11" s="2"/>
      <c r="S11" s="2"/>
    </row>
    <row r="12" spans="1:19" ht="15.75" thickBot="1" x14ac:dyDescent="0.3">
      <c r="A12" s="16">
        <v>10</v>
      </c>
      <c r="B12" s="45" t="s">
        <v>22</v>
      </c>
      <c r="C12" s="42" t="s">
        <v>143</v>
      </c>
      <c r="D12" s="39" t="s">
        <v>78</v>
      </c>
      <c r="E12" s="39" t="s">
        <v>79</v>
      </c>
      <c r="F12" s="39" t="s">
        <v>80</v>
      </c>
      <c r="G12" s="39" t="s">
        <v>81</v>
      </c>
      <c r="H12" s="14"/>
      <c r="I12" s="6"/>
      <c r="J12" s="37">
        <v>1</v>
      </c>
      <c r="K12" s="25">
        <f t="shared" si="1"/>
        <v>1.1000000000000001</v>
      </c>
      <c r="L12" s="8"/>
      <c r="M12" s="10"/>
      <c r="N12" s="10">
        <f t="shared" si="0"/>
        <v>0</v>
      </c>
      <c r="O12" s="10"/>
      <c r="P12" s="10"/>
      <c r="Q12" s="7"/>
      <c r="R12" s="2"/>
      <c r="S12" s="2"/>
    </row>
    <row r="13" spans="1:19" ht="15.75" thickBot="1" x14ac:dyDescent="0.3">
      <c r="A13" s="16">
        <v>11</v>
      </c>
      <c r="B13" s="44" t="s">
        <v>36</v>
      </c>
      <c r="C13" s="43" t="s">
        <v>142</v>
      </c>
      <c r="D13" s="39" t="s">
        <v>34</v>
      </c>
      <c r="E13" s="39" t="s">
        <v>97</v>
      </c>
      <c r="F13" s="39" t="s">
        <v>82</v>
      </c>
      <c r="G13" s="39" t="s">
        <v>29</v>
      </c>
      <c r="H13" s="17" t="s">
        <v>30</v>
      </c>
      <c r="I13" s="38"/>
      <c r="J13" s="37">
        <v>1</v>
      </c>
      <c r="K13" s="22">
        <f t="shared" si="1"/>
        <v>1.1000000000000001</v>
      </c>
      <c r="L13" s="23"/>
      <c r="M13" s="19"/>
      <c r="N13" s="19">
        <f t="shared" si="0"/>
        <v>0</v>
      </c>
      <c r="O13" s="19"/>
      <c r="P13" s="19"/>
      <c r="Q13" s="24"/>
      <c r="R13" s="2"/>
      <c r="S13" s="2"/>
    </row>
    <row r="14" spans="1:19" ht="15.75" thickBot="1" x14ac:dyDescent="0.3">
      <c r="A14" s="16">
        <v>12</v>
      </c>
      <c r="B14" s="44"/>
      <c r="C14" s="43" t="s">
        <v>98</v>
      </c>
      <c r="D14" s="39" t="s">
        <v>35</v>
      </c>
      <c r="E14" s="39" t="s">
        <v>25</v>
      </c>
      <c r="F14" s="39" t="s">
        <v>99</v>
      </c>
      <c r="G14" s="39" t="s">
        <v>7</v>
      </c>
      <c r="H14" s="12" t="s">
        <v>30</v>
      </c>
      <c r="I14" s="38" t="s">
        <v>83</v>
      </c>
      <c r="J14" s="37">
        <v>1</v>
      </c>
      <c r="K14" s="21">
        <f t="shared" si="1"/>
        <v>1.1000000000000001</v>
      </c>
      <c r="L14" s="5"/>
      <c r="M14" s="9"/>
      <c r="N14" s="9">
        <f t="shared" si="0"/>
        <v>0</v>
      </c>
      <c r="O14" s="9"/>
      <c r="P14" s="9"/>
      <c r="Q14" s="4"/>
      <c r="R14" s="2"/>
      <c r="S14" s="2"/>
    </row>
    <row r="15" spans="1:19" ht="15.75" thickBot="1" x14ac:dyDescent="0.3">
      <c r="A15" s="16">
        <v>13</v>
      </c>
      <c r="B15" s="44" t="s">
        <v>161</v>
      </c>
      <c r="C15" s="43" t="s">
        <v>140</v>
      </c>
      <c r="D15" s="39" t="s">
        <v>100</v>
      </c>
      <c r="E15" s="39" t="s">
        <v>101</v>
      </c>
      <c r="F15" s="39" t="s">
        <v>84</v>
      </c>
      <c r="G15" s="39" t="s">
        <v>145</v>
      </c>
      <c r="H15" s="14" t="s">
        <v>30</v>
      </c>
      <c r="I15" s="38"/>
      <c r="J15" s="37">
        <v>1</v>
      </c>
      <c r="K15" s="25">
        <f t="shared" si="1"/>
        <v>1.1000000000000001</v>
      </c>
      <c r="L15" s="8"/>
      <c r="M15" s="10"/>
      <c r="N15" s="10">
        <f t="shared" si="0"/>
        <v>0</v>
      </c>
      <c r="O15" s="10"/>
      <c r="P15" s="10"/>
      <c r="Q15" s="7"/>
      <c r="R15" s="2"/>
      <c r="S15" s="2"/>
    </row>
    <row r="16" spans="1:19" ht="15.75" thickBot="1" x14ac:dyDescent="0.3">
      <c r="A16" s="16">
        <v>14</v>
      </c>
      <c r="B16" s="44"/>
      <c r="C16" s="43" t="s">
        <v>102</v>
      </c>
      <c r="D16" s="39" t="s">
        <v>103</v>
      </c>
      <c r="E16" s="39" t="s">
        <v>101</v>
      </c>
      <c r="F16" s="39" t="s">
        <v>85</v>
      </c>
      <c r="G16" s="39" t="s">
        <v>145</v>
      </c>
      <c r="H16" s="26" t="s">
        <v>33</v>
      </c>
      <c r="I16" s="38"/>
      <c r="J16" s="37">
        <v>1</v>
      </c>
      <c r="K16" s="22">
        <f t="shared" si="1"/>
        <v>1.1000000000000001</v>
      </c>
      <c r="L16" s="23"/>
      <c r="M16" s="27"/>
      <c r="N16" s="19">
        <f t="shared" si="0"/>
        <v>0</v>
      </c>
      <c r="O16" s="19"/>
      <c r="P16" s="19"/>
      <c r="Q16" s="28"/>
      <c r="R16" s="2"/>
      <c r="S16" s="2"/>
    </row>
    <row r="17" spans="1:19" ht="15.75" thickBot="1" x14ac:dyDescent="0.3">
      <c r="A17" s="16">
        <v>15</v>
      </c>
      <c r="B17" s="44" t="s">
        <v>23</v>
      </c>
      <c r="C17" s="43" t="s">
        <v>104</v>
      </c>
      <c r="D17" s="39" t="s">
        <v>105</v>
      </c>
      <c r="E17" s="39" t="s">
        <v>106</v>
      </c>
      <c r="F17" s="39" t="s">
        <v>107</v>
      </c>
      <c r="G17" s="39" t="s">
        <v>11</v>
      </c>
      <c r="H17" s="13" t="s">
        <v>33</v>
      </c>
      <c r="I17" s="38" t="s">
        <v>10</v>
      </c>
      <c r="J17" s="37">
        <v>1</v>
      </c>
      <c r="K17" s="25">
        <f t="shared" si="1"/>
        <v>1.1000000000000001</v>
      </c>
      <c r="L17" s="8"/>
      <c r="M17" s="15"/>
      <c r="N17" s="10">
        <f t="shared" si="0"/>
        <v>0</v>
      </c>
      <c r="O17" s="10"/>
      <c r="P17" s="10"/>
      <c r="Q17" s="29"/>
      <c r="R17" s="2"/>
      <c r="S17" s="2"/>
    </row>
    <row r="18" spans="1:19" ht="15.75" thickBot="1" x14ac:dyDescent="0.3">
      <c r="A18" s="16">
        <v>16</v>
      </c>
      <c r="B18" s="44"/>
      <c r="C18" s="43" t="s">
        <v>108</v>
      </c>
      <c r="D18" s="39" t="s">
        <v>109</v>
      </c>
      <c r="E18" s="39" t="s">
        <v>40</v>
      </c>
      <c r="F18" s="39" t="s">
        <v>110</v>
      </c>
      <c r="G18" s="39" t="s">
        <v>11</v>
      </c>
      <c r="H18" s="18"/>
      <c r="I18" s="38" t="s">
        <v>32</v>
      </c>
      <c r="J18" s="37">
        <v>1</v>
      </c>
      <c r="K18" s="22">
        <f t="shared" si="1"/>
        <v>1.1000000000000001</v>
      </c>
      <c r="L18" s="23"/>
      <c r="M18" s="19"/>
      <c r="N18" s="19">
        <f t="shared" si="0"/>
        <v>0</v>
      </c>
      <c r="O18" s="19"/>
      <c r="P18" s="19"/>
      <c r="Q18" s="24"/>
      <c r="R18" s="2"/>
      <c r="S18" s="2"/>
    </row>
    <row r="19" spans="1:19" ht="15.75" thickBot="1" x14ac:dyDescent="0.3">
      <c r="A19" s="16">
        <v>17</v>
      </c>
      <c r="B19" s="44"/>
      <c r="C19" s="43" t="s">
        <v>111</v>
      </c>
      <c r="D19" s="39" t="s">
        <v>112</v>
      </c>
      <c r="E19" s="39" t="s">
        <v>9</v>
      </c>
      <c r="F19" s="39" t="s">
        <v>113</v>
      </c>
      <c r="G19" s="39" t="s">
        <v>11</v>
      </c>
      <c r="H19" s="6" t="s">
        <v>28</v>
      </c>
      <c r="I19" s="38" t="s">
        <v>8</v>
      </c>
      <c r="J19" s="37">
        <v>1</v>
      </c>
      <c r="K19" s="25">
        <f t="shared" si="1"/>
        <v>1.1000000000000001</v>
      </c>
      <c r="L19" s="8"/>
      <c r="M19" s="10"/>
      <c r="N19" s="10">
        <f t="shared" si="0"/>
        <v>0</v>
      </c>
      <c r="O19" s="10"/>
      <c r="P19" s="10"/>
      <c r="Q19" s="31"/>
      <c r="R19" s="2"/>
      <c r="S19" s="2"/>
    </row>
    <row r="20" spans="1:19" ht="15.75" thickBot="1" x14ac:dyDescent="0.3">
      <c r="A20" s="16">
        <v>18</v>
      </c>
      <c r="B20" s="44"/>
      <c r="C20" s="43" t="s">
        <v>139</v>
      </c>
      <c r="D20" s="39" t="s">
        <v>114</v>
      </c>
      <c r="E20" s="39" t="s">
        <v>40</v>
      </c>
      <c r="F20" s="39" t="s">
        <v>115</v>
      </c>
      <c r="G20" s="39" t="s">
        <v>31</v>
      </c>
      <c r="H20" s="30"/>
      <c r="I20" s="38" t="s">
        <v>86</v>
      </c>
      <c r="J20" s="37">
        <v>1</v>
      </c>
      <c r="K20" s="22">
        <f t="shared" si="1"/>
        <v>1.1000000000000001</v>
      </c>
      <c r="L20" s="23"/>
      <c r="M20" s="19"/>
      <c r="N20" s="19">
        <f t="shared" si="0"/>
        <v>0</v>
      </c>
      <c r="O20" s="19"/>
      <c r="P20" s="19"/>
      <c r="Q20" s="30"/>
      <c r="R20" s="2"/>
      <c r="S20" s="2"/>
    </row>
    <row r="21" spans="1:19" ht="15.75" thickBot="1" x14ac:dyDescent="0.3">
      <c r="A21" s="16">
        <v>19</v>
      </c>
      <c r="B21" s="44"/>
      <c r="C21" s="43" t="s">
        <v>116</v>
      </c>
      <c r="D21" s="39" t="s">
        <v>117</v>
      </c>
      <c r="E21" s="39" t="s">
        <v>40</v>
      </c>
      <c r="F21" s="39" t="s">
        <v>118</v>
      </c>
      <c r="G21" s="39" t="s">
        <v>11</v>
      </c>
      <c r="H21" s="3" t="s">
        <v>30</v>
      </c>
      <c r="I21" s="38" t="s">
        <v>87</v>
      </c>
      <c r="J21" s="37">
        <v>48</v>
      </c>
      <c r="K21" s="21">
        <f t="shared" si="1"/>
        <v>52.800000000000004</v>
      </c>
      <c r="L21" s="5"/>
      <c r="M21" s="9"/>
      <c r="N21" s="9">
        <f t="shared" si="0"/>
        <v>0</v>
      </c>
      <c r="O21" s="9"/>
      <c r="P21" s="9"/>
      <c r="Q21" s="4"/>
      <c r="R21" s="2"/>
      <c r="S21" s="2"/>
    </row>
    <row r="22" spans="1:19" ht="15.75" thickBot="1" x14ac:dyDescent="0.3">
      <c r="A22" s="16">
        <v>20</v>
      </c>
      <c r="B22" s="44"/>
      <c r="C22" s="43" t="s">
        <v>119</v>
      </c>
      <c r="D22" s="39" t="s">
        <v>120</v>
      </c>
      <c r="E22" s="39" t="s">
        <v>40</v>
      </c>
      <c r="F22" s="39" t="s">
        <v>121</v>
      </c>
      <c r="G22" s="39" t="s">
        <v>11</v>
      </c>
      <c r="H22" s="3" t="s">
        <v>30</v>
      </c>
      <c r="I22" s="38" t="s">
        <v>88</v>
      </c>
      <c r="J22" s="37">
        <v>82</v>
      </c>
      <c r="K22" s="21">
        <f t="shared" si="1"/>
        <v>90.2</v>
      </c>
      <c r="L22" s="5"/>
      <c r="M22" s="9"/>
      <c r="N22" s="9">
        <f t="shared" si="0"/>
        <v>0</v>
      </c>
      <c r="O22" s="9"/>
      <c r="P22" s="9"/>
      <c r="Q22" s="4"/>
      <c r="R22" s="2"/>
      <c r="S22" s="2"/>
    </row>
    <row r="23" spans="1:19" ht="15.75" thickBot="1" x14ac:dyDescent="0.3">
      <c r="A23" s="16">
        <v>21</v>
      </c>
      <c r="B23" s="44" t="s">
        <v>162</v>
      </c>
      <c r="C23" s="43" t="s">
        <v>122</v>
      </c>
      <c r="D23" s="39" t="s">
        <v>123</v>
      </c>
      <c r="E23" s="39" t="s">
        <v>25</v>
      </c>
      <c r="F23" s="39" t="s">
        <v>89</v>
      </c>
      <c r="G23" s="39" t="s">
        <v>42</v>
      </c>
      <c r="H23" s="3" t="s">
        <v>30</v>
      </c>
      <c r="I23" s="38"/>
      <c r="J23" s="37">
        <v>1</v>
      </c>
      <c r="K23" s="21">
        <f t="shared" si="1"/>
        <v>1.1000000000000001</v>
      </c>
      <c r="L23" s="5"/>
      <c r="M23" s="9"/>
      <c r="N23" s="9">
        <f t="shared" si="0"/>
        <v>0</v>
      </c>
      <c r="O23" s="9"/>
      <c r="P23" s="9"/>
      <c r="Q23" s="4"/>
      <c r="R23" s="2"/>
      <c r="S23" s="2"/>
    </row>
    <row r="24" spans="1:19" ht="15.75" thickBot="1" x14ac:dyDescent="0.3">
      <c r="A24" s="16">
        <v>22</v>
      </c>
      <c r="B24" s="44"/>
      <c r="C24" s="43" t="s">
        <v>141</v>
      </c>
      <c r="D24" s="39" t="s">
        <v>124</v>
      </c>
      <c r="E24" s="39" t="s">
        <v>25</v>
      </c>
      <c r="F24" s="39" t="s">
        <v>90</v>
      </c>
      <c r="G24" s="39" t="s">
        <v>146</v>
      </c>
      <c r="H24" s="3" t="s">
        <v>30</v>
      </c>
      <c r="I24" s="38"/>
      <c r="J24" s="37">
        <v>1</v>
      </c>
      <c r="K24" s="21">
        <f t="shared" si="1"/>
        <v>1.1000000000000001</v>
      </c>
      <c r="L24" s="5"/>
      <c r="M24" s="9"/>
      <c r="N24" s="9">
        <f t="shared" si="0"/>
        <v>0</v>
      </c>
      <c r="O24" s="9"/>
      <c r="P24" s="9"/>
      <c r="Q24" s="4"/>
      <c r="R24" s="2"/>
      <c r="S24" s="2"/>
    </row>
    <row r="25" spans="1:19" ht="15.75" thickBot="1" x14ac:dyDescent="0.3">
      <c r="A25" s="16">
        <v>23</v>
      </c>
      <c r="B25" s="44" t="s">
        <v>24</v>
      </c>
      <c r="C25" s="43" t="s">
        <v>125</v>
      </c>
      <c r="D25" s="39" t="s">
        <v>37</v>
      </c>
      <c r="E25" s="39" t="s">
        <v>126</v>
      </c>
      <c r="F25" s="39" t="s">
        <v>91</v>
      </c>
      <c r="G25" s="39" t="s">
        <v>147</v>
      </c>
      <c r="H25" s="3" t="s">
        <v>30</v>
      </c>
      <c r="I25" s="38"/>
      <c r="J25" s="37">
        <v>1</v>
      </c>
      <c r="K25" s="21">
        <f t="shared" si="1"/>
        <v>1.1000000000000001</v>
      </c>
      <c r="L25" s="5"/>
      <c r="M25" s="9"/>
      <c r="N25" s="9">
        <f t="shared" si="0"/>
        <v>0</v>
      </c>
      <c r="O25" s="9"/>
      <c r="P25" s="9"/>
      <c r="Q25" s="4"/>
      <c r="R25" s="2"/>
      <c r="S25" s="2"/>
    </row>
    <row r="26" spans="1:19" ht="15.75" thickBot="1" x14ac:dyDescent="0.3">
      <c r="A26" s="16">
        <v>24</v>
      </c>
      <c r="B26" s="44"/>
      <c r="C26" s="43" t="s">
        <v>127</v>
      </c>
      <c r="D26" s="39" t="s">
        <v>39</v>
      </c>
      <c r="E26" s="39" t="s">
        <v>128</v>
      </c>
      <c r="F26" s="39" t="s">
        <v>92</v>
      </c>
      <c r="G26" s="39" t="s">
        <v>148</v>
      </c>
      <c r="H26" s="3" t="s">
        <v>30</v>
      </c>
      <c r="I26" s="38"/>
      <c r="J26" s="37">
        <v>2</v>
      </c>
      <c r="K26" s="21">
        <f t="shared" si="1"/>
        <v>2.2000000000000002</v>
      </c>
      <c r="L26" s="5"/>
      <c r="M26" s="9"/>
      <c r="N26" s="9">
        <f t="shared" si="0"/>
        <v>0</v>
      </c>
      <c r="O26" s="9"/>
      <c r="P26" s="9"/>
      <c r="Q26" s="4"/>
      <c r="R26" s="2"/>
      <c r="S26" s="2"/>
    </row>
    <row r="27" spans="1:19" ht="15.75" thickBot="1" x14ac:dyDescent="0.3">
      <c r="A27" s="16">
        <v>25</v>
      </c>
      <c r="B27" s="44"/>
      <c r="C27" s="43" t="s">
        <v>129</v>
      </c>
      <c r="D27" s="39" t="s">
        <v>130</v>
      </c>
      <c r="E27" s="39" t="s">
        <v>131</v>
      </c>
      <c r="F27" s="39" t="s">
        <v>93</v>
      </c>
      <c r="G27" s="39" t="s">
        <v>38</v>
      </c>
      <c r="H27" s="3" t="s">
        <v>30</v>
      </c>
      <c r="I27" s="38"/>
      <c r="J27" s="37">
        <v>1</v>
      </c>
      <c r="K27" s="21">
        <f t="shared" si="1"/>
        <v>1.1000000000000001</v>
      </c>
      <c r="L27" s="5"/>
      <c r="M27" s="9"/>
      <c r="N27" s="9">
        <f t="shared" si="0"/>
        <v>0</v>
      </c>
      <c r="O27" s="9"/>
      <c r="P27" s="9"/>
      <c r="Q27" s="4"/>
      <c r="R27" s="2"/>
      <c r="S27" s="2"/>
    </row>
    <row r="28" spans="1:19" ht="15.75" thickBot="1" x14ac:dyDescent="0.3">
      <c r="A28" s="16">
        <v>26</v>
      </c>
      <c r="B28" s="44"/>
      <c r="C28" s="43" t="s">
        <v>132</v>
      </c>
      <c r="D28" s="39" t="s">
        <v>41</v>
      </c>
      <c r="E28" s="39" t="s">
        <v>133</v>
      </c>
      <c r="F28" s="39" t="s">
        <v>94</v>
      </c>
      <c r="G28" s="39" t="s">
        <v>149</v>
      </c>
      <c r="H28" s="3" t="s">
        <v>30</v>
      </c>
      <c r="I28" s="38"/>
      <c r="J28" s="37">
        <v>1</v>
      </c>
      <c r="K28" s="21">
        <f t="shared" si="1"/>
        <v>1.1000000000000001</v>
      </c>
      <c r="L28" s="5"/>
      <c r="M28" s="9"/>
      <c r="N28" s="9">
        <f t="shared" si="0"/>
        <v>0</v>
      </c>
      <c r="O28" s="9"/>
      <c r="P28" s="9"/>
      <c r="Q28" s="4"/>
      <c r="R28" s="2"/>
      <c r="S28" s="2"/>
    </row>
    <row r="29" spans="1:19" ht="15.75" thickBot="1" x14ac:dyDescent="0.3">
      <c r="A29" s="16">
        <v>27</v>
      </c>
      <c r="B29" s="44" t="s">
        <v>163</v>
      </c>
      <c r="C29" s="43" t="s">
        <v>144</v>
      </c>
      <c r="D29" s="39" t="s">
        <v>134</v>
      </c>
      <c r="E29" s="39" t="s">
        <v>25</v>
      </c>
      <c r="F29" s="39" t="s">
        <v>135</v>
      </c>
      <c r="G29" s="39" t="s">
        <v>150</v>
      </c>
      <c r="H29" s="3"/>
      <c r="I29" s="38" t="s">
        <v>95</v>
      </c>
      <c r="J29" s="37">
        <v>1</v>
      </c>
      <c r="K29" s="21">
        <f t="shared" si="1"/>
        <v>1.1000000000000001</v>
      </c>
      <c r="L29" s="5"/>
      <c r="M29" s="9"/>
      <c r="N29" s="9">
        <f t="shared" si="0"/>
        <v>0</v>
      </c>
      <c r="O29" s="9"/>
      <c r="P29" s="9"/>
      <c r="Q29" s="4"/>
      <c r="R29" s="2"/>
      <c r="S29" s="2"/>
    </row>
    <row r="30" spans="1:19" ht="15.75" thickBot="1" x14ac:dyDescent="0.3">
      <c r="A30" s="16">
        <v>28</v>
      </c>
      <c r="B30" s="44"/>
      <c r="C30" s="43" t="s">
        <v>136</v>
      </c>
      <c r="D30" s="39" t="s">
        <v>137</v>
      </c>
      <c r="E30" s="39" t="s">
        <v>25</v>
      </c>
      <c r="F30" s="39" t="s">
        <v>138</v>
      </c>
      <c r="G30" s="39" t="s">
        <v>151</v>
      </c>
      <c r="H30" s="3" t="s">
        <v>30</v>
      </c>
      <c r="I30" s="38" t="s">
        <v>96</v>
      </c>
      <c r="J30" s="37">
        <v>5</v>
      </c>
      <c r="K30" s="21">
        <f t="shared" si="1"/>
        <v>5.5</v>
      </c>
      <c r="L30" s="5"/>
      <c r="M30" s="9"/>
      <c r="N30" s="9">
        <f t="shared" si="0"/>
        <v>0</v>
      </c>
      <c r="O30" s="9"/>
      <c r="P30" s="9"/>
      <c r="Q30" s="4"/>
      <c r="R30" s="2"/>
      <c r="S30" s="2"/>
    </row>
    <row r="31" spans="1:19" ht="15.75" thickBot="1" x14ac:dyDescent="0.3">
      <c r="A31" s="16">
        <v>29</v>
      </c>
      <c r="B31" s="44" t="s">
        <v>164</v>
      </c>
      <c r="C31" s="41" t="s">
        <v>152</v>
      </c>
      <c r="D31" s="39" t="s">
        <v>6</v>
      </c>
      <c r="E31" s="39" t="s">
        <v>25</v>
      </c>
      <c r="F31" s="39" t="s">
        <v>153</v>
      </c>
      <c r="G31" s="3"/>
      <c r="H31" s="3" t="s">
        <v>30</v>
      </c>
      <c r="I31" s="3"/>
      <c r="J31" s="37">
        <v>1</v>
      </c>
      <c r="K31" s="21">
        <f t="shared" si="1"/>
        <v>1.1000000000000001</v>
      </c>
      <c r="L31" s="5"/>
      <c r="M31" s="9"/>
      <c r="N31" s="9">
        <f t="shared" si="0"/>
        <v>0</v>
      </c>
      <c r="O31" s="9"/>
      <c r="P31" s="9"/>
      <c r="Q31" s="4"/>
      <c r="R31" s="2"/>
      <c r="S31" s="2"/>
    </row>
    <row r="32" spans="1:19" ht="15.75" thickBot="1" x14ac:dyDescent="0.3">
      <c r="A32" s="16">
        <v>30</v>
      </c>
      <c r="B32" s="44"/>
      <c r="C32" s="41" t="s">
        <v>154</v>
      </c>
      <c r="D32" s="39" t="s">
        <v>155</v>
      </c>
      <c r="E32" s="39" t="s">
        <v>25</v>
      </c>
      <c r="F32" s="39" t="s">
        <v>156</v>
      </c>
      <c r="G32" s="3"/>
      <c r="H32" s="3" t="s">
        <v>30</v>
      </c>
      <c r="I32" s="3"/>
      <c r="J32" s="37">
        <v>1</v>
      </c>
      <c r="K32" s="21">
        <f t="shared" si="1"/>
        <v>1.1000000000000001</v>
      </c>
      <c r="L32" s="5"/>
      <c r="M32" s="9"/>
      <c r="N32" s="9">
        <f t="shared" si="0"/>
        <v>0</v>
      </c>
      <c r="O32" s="9"/>
      <c r="P32" s="9"/>
      <c r="Q32" s="4"/>
      <c r="R32" s="2"/>
      <c r="S32" s="2"/>
    </row>
    <row r="33" spans="1:19" ht="15.75" thickBot="1" x14ac:dyDescent="0.3">
      <c r="A33" s="16">
        <v>31</v>
      </c>
      <c r="B33" s="44"/>
      <c r="C33" s="41" t="s">
        <v>157</v>
      </c>
      <c r="D33" s="39" t="s">
        <v>158</v>
      </c>
      <c r="E33" s="39" t="s">
        <v>25</v>
      </c>
      <c r="F33" s="39" t="s">
        <v>159</v>
      </c>
      <c r="G33" s="3"/>
      <c r="H33" s="3" t="s">
        <v>30</v>
      </c>
      <c r="I33" s="3"/>
      <c r="J33" s="37">
        <v>1</v>
      </c>
      <c r="K33" s="21">
        <f t="shared" si="1"/>
        <v>1.1000000000000001</v>
      </c>
      <c r="L33" s="5"/>
      <c r="M33" s="9"/>
      <c r="N33" s="9">
        <f t="shared" si="0"/>
        <v>0</v>
      </c>
      <c r="O33" s="9"/>
      <c r="P33" s="9"/>
      <c r="Q33" s="4"/>
      <c r="R33" s="2"/>
      <c r="S33" s="2"/>
    </row>
    <row r="34" spans="1:19" ht="19.5" thickBot="1" x14ac:dyDescent="0.35">
      <c r="K34" s="32" t="s">
        <v>26</v>
      </c>
      <c r="L34" s="32"/>
      <c r="M34" s="32"/>
      <c r="N34" s="32"/>
      <c r="O34" s="20"/>
      <c r="P34" s="20"/>
    </row>
    <row r="35" spans="1:19" ht="19.5" thickBot="1" x14ac:dyDescent="0.35">
      <c r="K35" s="33" t="s">
        <v>27</v>
      </c>
      <c r="L35" s="33"/>
      <c r="M35" s="33"/>
      <c r="N35" s="33"/>
      <c r="O35" s="20"/>
      <c r="P35" s="20"/>
    </row>
  </sheetData>
  <mergeCells count="11">
    <mergeCell ref="B25:B28"/>
    <mergeCell ref="B29:B30"/>
    <mergeCell ref="B31:B33"/>
    <mergeCell ref="K34:N34"/>
    <mergeCell ref="K35:N35"/>
    <mergeCell ref="A1:Q1"/>
    <mergeCell ref="B3:B11"/>
    <mergeCell ref="B13:B14"/>
    <mergeCell ref="B15:B16"/>
    <mergeCell ref="B17:B22"/>
    <mergeCell ref="B23:B24"/>
  </mergeCells>
  <conditionalFormatting sqref="Q18:Q19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Q13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N3:P33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J3:K33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33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Q18:Q19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N3:P33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06BC-7742-43A3-A2B7-937F0383FB8A}">
  <dimension ref="A1:R33"/>
  <sheetViews>
    <sheetView topLeftCell="D1" workbookViewId="0">
      <selection activeCell="K2" sqref="K2"/>
    </sheetView>
  </sheetViews>
  <sheetFormatPr defaultRowHeight="15" x14ac:dyDescent="0.25"/>
  <cols>
    <col min="2" max="2" width="19.5703125" customWidth="1"/>
    <col min="3" max="3" width="42.42578125" customWidth="1"/>
    <col min="4" max="4" width="23.85546875" customWidth="1"/>
    <col min="5" max="5" width="16.85546875" customWidth="1"/>
    <col min="6" max="6" width="28.5703125" customWidth="1"/>
    <col min="7" max="7" width="22" customWidth="1"/>
    <col min="10" max="11" width="19.85546875" customWidth="1"/>
    <col min="12" max="12" width="30.7109375" customWidth="1"/>
  </cols>
  <sheetData>
    <row r="1" spans="1:18" ht="16.5" thickBot="1" x14ac:dyDescent="0.3">
      <c r="A1" s="34" t="s">
        <v>165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6"/>
    </row>
    <row r="2" spans="1:18" ht="15.75" thickBot="1" x14ac:dyDescent="0.3">
      <c r="A2" s="1" t="s">
        <v>12</v>
      </c>
      <c r="B2" s="1" t="s">
        <v>13</v>
      </c>
      <c r="C2" s="1" t="s">
        <v>0</v>
      </c>
      <c r="D2" s="1" t="s">
        <v>1</v>
      </c>
      <c r="E2" s="1" t="s">
        <v>14</v>
      </c>
      <c r="F2" s="1" t="s">
        <v>3</v>
      </c>
      <c r="G2" s="1" t="s">
        <v>2</v>
      </c>
      <c r="H2" s="1" t="s">
        <v>15</v>
      </c>
      <c r="I2" s="1" t="s">
        <v>16</v>
      </c>
      <c r="J2" s="1" t="s">
        <v>166</v>
      </c>
      <c r="K2" s="1"/>
      <c r="L2" s="1" t="s">
        <v>43</v>
      </c>
      <c r="M2" s="1" t="s">
        <v>18</v>
      </c>
      <c r="N2" s="1" t="s">
        <v>19</v>
      </c>
      <c r="O2" s="1" t="s">
        <v>20</v>
      </c>
      <c r="P2" s="1"/>
      <c r="Q2" s="1"/>
      <c r="R2" s="1" t="s">
        <v>21</v>
      </c>
    </row>
    <row r="3" spans="1:18" ht="15.75" thickBot="1" x14ac:dyDescent="0.3">
      <c r="A3" s="16">
        <v>1</v>
      </c>
      <c r="B3" s="44" t="s">
        <v>160</v>
      </c>
      <c r="C3" s="41" t="s">
        <v>69</v>
      </c>
      <c r="D3" s="39" t="s">
        <v>45</v>
      </c>
      <c r="E3" s="39" t="s">
        <v>54</v>
      </c>
      <c r="F3" s="39" t="s">
        <v>57</v>
      </c>
      <c r="G3" s="39" t="s">
        <v>65</v>
      </c>
      <c r="H3" s="12" t="s">
        <v>28</v>
      </c>
      <c r="I3" s="3"/>
      <c r="J3" s="37">
        <f>3</f>
        <v>3</v>
      </c>
      <c r="K3" s="37"/>
      <c r="L3" s="21">
        <f>J3*1.1*1</f>
        <v>3.3000000000000003</v>
      </c>
      <c r="M3" s="39" t="s">
        <v>67</v>
      </c>
      <c r="N3" s="9"/>
      <c r="O3" s="9">
        <f>N3*J3</f>
        <v>0</v>
      </c>
      <c r="P3" s="9"/>
      <c r="Q3" s="9"/>
      <c r="R3" s="4"/>
    </row>
    <row r="4" spans="1:18" ht="60.75" thickBot="1" x14ac:dyDescent="0.3">
      <c r="A4" s="16">
        <v>2</v>
      </c>
      <c r="B4" s="44"/>
      <c r="C4" s="41" t="s">
        <v>70</v>
      </c>
      <c r="D4" s="40" t="s">
        <v>46</v>
      </c>
      <c r="E4" s="39" t="s">
        <v>54</v>
      </c>
      <c r="F4" s="39" t="s">
        <v>58</v>
      </c>
      <c r="G4" s="39" t="s">
        <v>11</v>
      </c>
      <c r="H4" s="12" t="s">
        <v>28</v>
      </c>
      <c r="I4" s="3"/>
      <c r="J4" s="37">
        <v>18</v>
      </c>
      <c r="K4" s="37"/>
      <c r="L4" s="21">
        <f>J4*1.1*1</f>
        <v>19.8</v>
      </c>
      <c r="M4" s="39" t="s">
        <v>67</v>
      </c>
      <c r="N4" s="9"/>
      <c r="O4" s="9">
        <f>N4*J4</f>
        <v>0</v>
      </c>
      <c r="P4" s="9"/>
      <c r="Q4" s="9"/>
      <c r="R4" s="4"/>
    </row>
    <row r="5" spans="1:18" ht="15.75" thickBot="1" x14ac:dyDescent="0.3">
      <c r="A5" s="16">
        <v>3</v>
      </c>
      <c r="B5" s="44"/>
      <c r="C5" s="41" t="s">
        <v>71</v>
      </c>
      <c r="D5" s="39" t="s">
        <v>47</v>
      </c>
      <c r="E5" s="39" t="s">
        <v>54</v>
      </c>
      <c r="F5" s="39" t="s">
        <v>59</v>
      </c>
      <c r="G5" s="39" t="s">
        <v>11</v>
      </c>
      <c r="H5" s="12" t="s">
        <v>28</v>
      </c>
      <c r="I5" s="3"/>
      <c r="J5" s="37">
        <v>2</v>
      </c>
      <c r="K5" s="37"/>
      <c r="L5" s="21">
        <f>J5*1.1*1</f>
        <v>2.2000000000000002</v>
      </c>
      <c r="M5" s="39" t="s">
        <v>67</v>
      </c>
      <c r="N5" s="9"/>
      <c r="O5" s="9">
        <f>N5*J5</f>
        <v>0</v>
      </c>
      <c r="P5" s="9"/>
      <c r="Q5" s="9"/>
      <c r="R5" s="4"/>
    </row>
    <row r="6" spans="1:18" ht="15.75" thickBot="1" x14ac:dyDescent="0.3">
      <c r="A6" s="16">
        <v>4</v>
      </c>
      <c r="B6" s="44"/>
      <c r="C6" s="41" t="s">
        <v>72</v>
      </c>
      <c r="D6" s="39" t="s">
        <v>48</v>
      </c>
      <c r="E6" s="39" t="s">
        <v>54</v>
      </c>
      <c r="F6" s="39" t="s">
        <v>60</v>
      </c>
      <c r="G6" s="39" t="s">
        <v>5</v>
      </c>
      <c r="H6" s="12" t="s">
        <v>28</v>
      </c>
      <c r="I6" s="3"/>
      <c r="J6" s="37">
        <v>2</v>
      </c>
      <c r="K6" s="37"/>
      <c r="L6" s="21">
        <f>J6*1.1*1</f>
        <v>2.2000000000000002</v>
      </c>
      <c r="M6" s="39" t="s">
        <v>67</v>
      </c>
      <c r="N6" s="9"/>
      <c r="O6" s="9">
        <f>N6*J6</f>
        <v>0</v>
      </c>
      <c r="P6" s="9"/>
      <c r="Q6" s="9"/>
      <c r="R6" s="4"/>
    </row>
    <row r="7" spans="1:18" ht="15.75" thickBot="1" x14ac:dyDescent="0.3">
      <c r="A7" s="16">
        <v>5</v>
      </c>
      <c r="B7" s="44"/>
      <c r="C7" s="41" t="s">
        <v>73</v>
      </c>
      <c r="D7" s="39" t="s">
        <v>49</v>
      </c>
      <c r="E7" s="39" t="s">
        <v>54</v>
      </c>
      <c r="F7" s="39" t="s">
        <v>61</v>
      </c>
      <c r="G7" s="39" t="s">
        <v>11</v>
      </c>
      <c r="H7" s="12" t="s">
        <v>28</v>
      </c>
      <c r="I7" s="3"/>
      <c r="J7" s="37">
        <v>4</v>
      </c>
      <c r="K7" s="37"/>
      <c r="L7" s="21">
        <f>J7*1.1*1</f>
        <v>4.4000000000000004</v>
      </c>
      <c r="M7" s="39" t="s">
        <v>67</v>
      </c>
      <c r="N7" s="9"/>
      <c r="O7" s="9">
        <f>N7*J7</f>
        <v>0</v>
      </c>
      <c r="P7" s="9"/>
      <c r="Q7" s="9"/>
      <c r="R7" s="4"/>
    </row>
    <row r="8" spans="1:18" ht="15.75" thickBot="1" x14ac:dyDescent="0.3">
      <c r="A8" s="16">
        <v>6</v>
      </c>
      <c r="B8" s="44"/>
      <c r="C8" s="41" t="s">
        <v>74</v>
      </c>
      <c r="D8" s="39" t="s">
        <v>50</v>
      </c>
      <c r="E8" s="39" t="s">
        <v>55</v>
      </c>
      <c r="F8" s="39" t="s">
        <v>62</v>
      </c>
      <c r="G8" s="39" t="s">
        <v>29</v>
      </c>
      <c r="H8" s="12"/>
      <c r="I8" s="3"/>
      <c r="J8" s="37">
        <v>1</v>
      </c>
      <c r="K8" s="37"/>
      <c r="L8" s="21">
        <f>J8*1.1*1</f>
        <v>1.1000000000000001</v>
      </c>
      <c r="M8" s="39" t="s">
        <v>67</v>
      </c>
      <c r="N8" s="9"/>
      <c r="O8" s="9">
        <f>N8*J8</f>
        <v>0</v>
      </c>
      <c r="P8" s="9"/>
      <c r="Q8" s="9"/>
      <c r="R8" s="4"/>
    </row>
    <row r="9" spans="1:18" ht="15.75" thickBot="1" x14ac:dyDescent="0.3">
      <c r="A9" s="16">
        <v>7</v>
      </c>
      <c r="B9" s="44"/>
      <c r="C9" s="41" t="s">
        <v>75</v>
      </c>
      <c r="D9" s="39" t="s">
        <v>51</v>
      </c>
      <c r="E9" s="39" t="s">
        <v>54</v>
      </c>
      <c r="F9" s="39" t="s">
        <v>63</v>
      </c>
      <c r="G9" s="39" t="s">
        <v>4</v>
      </c>
      <c r="H9" s="12"/>
      <c r="I9" s="3"/>
      <c r="J9" s="37">
        <v>1</v>
      </c>
      <c r="K9" s="37"/>
      <c r="L9" s="21">
        <f>J9*1.1*1</f>
        <v>1.1000000000000001</v>
      </c>
      <c r="M9" s="39" t="s">
        <v>67</v>
      </c>
      <c r="N9" s="9"/>
      <c r="O9" s="9">
        <f>N9*J9</f>
        <v>0</v>
      </c>
      <c r="P9" s="9"/>
      <c r="Q9" s="9"/>
      <c r="R9" s="4"/>
    </row>
    <row r="10" spans="1:18" ht="15.75" thickBot="1" x14ac:dyDescent="0.3">
      <c r="A10" s="16">
        <v>8</v>
      </c>
      <c r="B10" s="44"/>
      <c r="C10" s="41" t="s">
        <v>76</v>
      </c>
      <c r="D10" s="39" t="s">
        <v>52</v>
      </c>
      <c r="E10" s="39" t="s">
        <v>40</v>
      </c>
      <c r="F10" s="39" t="s">
        <v>64</v>
      </c>
      <c r="G10" s="39" t="s">
        <v>11</v>
      </c>
      <c r="H10" s="12" t="s">
        <v>30</v>
      </c>
      <c r="I10" s="3"/>
      <c r="J10" s="37">
        <v>1</v>
      </c>
      <c r="K10" s="37"/>
      <c r="L10" s="21">
        <f>J10*1.1*1</f>
        <v>1.1000000000000001</v>
      </c>
      <c r="M10" s="39" t="s">
        <v>68</v>
      </c>
      <c r="N10" s="9"/>
      <c r="O10" s="9">
        <f>N10*J10</f>
        <v>0</v>
      </c>
      <c r="P10" s="9"/>
      <c r="Q10" s="9"/>
      <c r="R10" s="4"/>
    </row>
    <row r="11" spans="1:18" ht="15.75" thickBot="1" x14ac:dyDescent="0.3">
      <c r="A11" s="16">
        <v>9</v>
      </c>
      <c r="B11" s="44"/>
      <c r="C11" s="41" t="s">
        <v>77</v>
      </c>
      <c r="D11" s="39" t="s">
        <v>53</v>
      </c>
      <c r="E11" s="39" t="s">
        <v>25</v>
      </c>
      <c r="F11" s="39" t="s">
        <v>56</v>
      </c>
      <c r="G11" s="39" t="s">
        <v>66</v>
      </c>
      <c r="H11" s="12" t="s">
        <v>28</v>
      </c>
      <c r="I11" s="3"/>
      <c r="J11" s="37">
        <v>1</v>
      </c>
      <c r="K11" s="37"/>
      <c r="L11" s="21">
        <f>J11*1.1*1</f>
        <v>1.1000000000000001</v>
      </c>
      <c r="M11" s="39" t="s">
        <v>67</v>
      </c>
      <c r="N11" s="9"/>
      <c r="O11" s="9">
        <f>N11*J11</f>
        <v>0</v>
      </c>
      <c r="P11" s="9"/>
      <c r="Q11" s="9"/>
      <c r="R11" s="4"/>
    </row>
    <row r="12" spans="1:18" ht="15.75" thickBot="1" x14ac:dyDescent="0.3">
      <c r="A12" s="16">
        <v>10</v>
      </c>
      <c r="B12" s="45" t="s">
        <v>22</v>
      </c>
      <c r="C12" s="42" t="s">
        <v>143</v>
      </c>
      <c r="D12" s="39" t="s">
        <v>78</v>
      </c>
      <c r="E12" s="39" t="s">
        <v>79</v>
      </c>
      <c r="F12" s="39" t="s">
        <v>80</v>
      </c>
      <c r="G12" s="39" t="s">
        <v>81</v>
      </c>
      <c r="H12" s="14"/>
      <c r="I12" s="6"/>
      <c r="J12" s="37">
        <v>1</v>
      </c>
      <c r="K12" s="46"/>
      <c r="L12" s="25">
        <f>J12*1.1*1</f>
        <v>1.1000000000000001</v>
      </c>
      <c r="M12" s="8"/>
      <c r="N12" s="10"/>
      <c r="O12" s="10">
        <f>N12*J12</f>
        <v>0</v>
      </c>
      <c r="P12" s="10"/>
      <c r="Q12" s="10"/>
      <c r="R12" s="7"/>
    </row>
    <row r="13" spans="1:18" ht="15.75" thickBot="1" x14ac:dyDescent="0.3">
      <c r="A13" s="16">
        <v>11</v>
      </c>
      <c r="B13" s="44" t="s">
        <v>36</v>
      </c>
      <c r="C13" s="43" t="s">
        <v>142</v>
      </c>
      <c r="D13" s="39" t="s">
        <v>34</v>
      </c>
      <c r="E13" s="39" t="s">
        <v>97</v>
      </c>
      <c r="F13" s="39" t="s">
        <v>82</v>
      </c>
      <c r="G13" s="39" t="s">
        <v>29</v>
      </c>
      <c r="H13" s="17" t="s">
        <v>30</v>
      </c>
      <c r="I13" s="38"/>
      <c r="J13" s="37">
        <v>1</v>
      </c>
      <c r="K13" s="47"/>
      <c r="L13" s="22">
        <f>J13*1.1*1</f>
        <v>1.1000000000000001</v>
      </c>
      <c r="M13" s="23"/>
      <c r="N13" s="19"/>
      <c r="O13" s="19">
        <f>N13*J13</f>
        <v>0</v>
      </c>
      <c r="P13" s="19"/>
      <c r="Q13" s="19"/>
      <c r="R13" s="24"/>
    </row>
    <row r="14" spans="1:18" ht="15.75" thickBot="1" x14ac:dyDescent="0.3">
      <c r="A14" s="16">
        <v>12</v>
      </c>
      <c r="B14" s="44"/>
      <c r="C14" s="43" t="s">
        <v>98</v>
      </c>
      <c r="D14" s="39" t="s">
        <v>35</v>
      </c>
      <c r="E14" s="39" t="s">
        <v>25</v>
      </c>
      <c r="F14" s="39" t="s">
        <v>99</v>
      </c>
      <c r="G14" s="39" t="s">
        <v>7</v>
      </c>
      <c r="H14" s="12" t="s">
        <v>30</v>
      </c>
      <c r="I14" s="38" t="s">
        <v>83</v>
      </c>
      <c r="J14" s="37">
        <v>1</v>
      </c>
      <c r="K14" s="37"/>
      <c r="L14" s="21">
        <f>J14*1.1*1</f>
        <v>1.1000000000000001</v>
      </c>
      <c r="M14" s="5"/>
      <c r="N14" s="9"/>
      <c r="O14" s="9">
        <f>N14*J14</f>
        <v>0</v>
      </c>
      <c r="P14" s="9"/>
      <c r="Q14" s="9"/>
      <c r="R14" s="4"/>
    </row>
    <row r="15" spans="1:18" ht="15.75" thickBot="1" x14ac:dyDescent="0.3">
      <c r="A15" s="16">
        <v>13</v>
      </c>
      <c r="B15" s="44" t="s">
        <v>161</v>
      </c>
      <c r="C15" s="43" t="s">
        <v>140</v>
      </c>
      <c r="D15" s="39" t="s">
        <v>100</v>
      </c>
      <c r="E15" s="39" t="s">
        <v>101</v>
      </c>
      <c r="F15" s="39" t="s">
        <v>84</v>
      </c>
      <c r="G15" s="39" t="s">
        <v>145</v>
      </c>
      <c r="H15" s="14" t="s">
        <v>30</v>
      </c>
      <c r="I15" s="38"/>
      <c r="J15" s="37">
        <v>1</v>
      </c>
      <c r="K15" s="46"/>
      <c r="L15" s="25">
        <f>J15*1.1*1</f>
        <v>1.1000000000000001</v>
      </c>
      <c r="M15" s="8"/>
      <c r="N15" s="10"/>
      <c r="O15" s="10">
        <f>N15*J15</f>
        <v>0</v>
      </c>
      <c r="P15" s="10"/>
      <c r="Q15" s="10"/>
      <c r="R15" s="7"/>
    </row>
    <row r="16" spans="1:18" ht="15.75" thickBot="1" x14ac:dyDescent="0.3">
      <c r="A16" s="16">
        <v>14</v>
      </c>
      <c r="B16" s="44"/>
      <c r="C16" s="43" t="s">
        <v>102</v>
      </c>
      <c r="D16" s="39" t="s">
        <v>103</v>
      </c>
      <c r="E16" s="39" t="s">
        <v>101</v>
      </c>
      <c r="F16" s="39" t="s">
        <v>85</v>
      </c>
      <c r="G16" s="39" t="s">
        <v>145</v>
      </c>
      <c r="H16" s="26" t="s">
        <v>33</v>
      </c>
      <c r="I16" s="38"/>
      <c r="J16" s="37">
        <v>1</v>
      </c>
      <c r="K16" s="47"/>
      <c r="L16" s="22">
        <f>J16*1.1*1</f>
        <v>1.1000000000000001</v>
      </c>
      <c r="M16" s="23"/>
      <c r="N16" s="27"/>
      <c r="O16" s="19">
        <f>N16*J16</f>
        <v>0</v>
      </c>
      <c r="P16" s="19"/>
      <c r="Q16" s="19"/>
      <c r="R16" s="28"/>
    </row>
    <row r="17" spans="1:18" ht="15.75" thickBot="1" x14ac:dyDescent="0.3">
      <c r="A17" s="16">
        <v>15</v>
      </c>
      <c r="B17" s="44" t="s">
        <v>23</v>
      </c>
      <c r="C17" s="43" t="s">
        <v>104</v>
      </c>
      <c r="D17" s="39" t="s">
        <v>105</v>
      </c>
      <c r="E17" s="39" t="s">
        <v>106</v>
      </c>
      <c r="F17" s="39" t="s">
        <v>107</v>
      </c>
      <c r="G17" s="39" t="s">
        <v>11</v>
      </c>
      <c r="H17" s="13" t="s">
        <v>33</v>
      </c>
      <c r="I17" s="38" t="s">
        <v>10</v>
      </c>
      <c r="J17" s="37">
        <v>1</v>
      </c>
      <c r="K17" s="46"/>
      <c r="L17" s="25">
        <f>J17*1.1*1</f>
        <v>1.1000000000000001</v>
      </c>
      <c r="M17" s="8"/>
      <c r="N17" s="15"/>
      <c r="O17" s="10">
        <f>N17*J17</f>
        <v>0</v>
      </c>
      <c r="P17" s="10"/>
      <c r="Q17" s="10"/>
      <c r="R17" s="29"/>
    </row>
    <row r="18" spans="1:18" ht="15.75" thickBot="1" x14ac:dyDescent="0.3">
      <c r="A18" s="16">
        <v>16</v>
      </c>
      <c r="B18" s="44"/>
      <c r="C18" s="43" t="s">
        <v>108</v>
      </c>
      <c r="D18" s="39" t="s">
        <v>109</v>
      </c>
      <c r="E18" s="39" t="s">
        <v>40</v>
      </c>
      <c r="F18" s="39" t="s">
        <v>110</v>
      </c>
      <c r="G18" s="39" t="s">
        <v>11</v>
      </c>
      <c r="H18" s="18"/>
      <c r="I18" s="38" t="s">
        <v>32</v>
      </c>
      <c r="J18" s="37">
        <v>1</v>
      </c>
      <c r="K18" s="47"/>
      <c r="L18" s="22">
        <f>J18*1.1*1</f>
        <v>1.1000000000000001</v>
      </c>
      <c r="M18" s="23"/>
      <c r="N18" s="19"/>
      <c r="O18" s="19">
        <f>N18*J18</f>
        <v>0</v>
      </c>
      <c r="P18" s="19"/>
      <c r="Q18" s="19"/>
      <c r="R18" s="24"/>
    </row>
    <row r="19" spans="1:18" ht="15.75" thickBot="1" x14ac:dyDescent="0.3">
      <c r="A19" s="16">
        <v>17</v>
      </c>
      <c r="B19" s="44"/>
      <c r="C19" s="43" t="s">
        <v>111</v>
      </c>
      <c r="D19" s="39" t="s">
        <v>112</v>
      </c>
      <c r="E19" s="39" t="s">
        <v>9</v>
      </c>
      <c r="F19" s="39" t="s">
        <v>113</v>
      </c>
      <c r="G19" s="39" t="s">
        <v>11</v>
      </c>
      <c r="H19" s="6" t="s">
        <v>28</v>
      </c>
      <c r="I19" s="38" t="s">
        <v>8</v>
      </c>
      <c r="J19" s="37">
        <v>1</v>
      </c>
      <c r="K19" s="46"/>
      <c r="L19" s="25">
        <f>J19*1.1*1</f>
        <v>1.1000000000000001</v>
      </c>
      <c r="M19" s="8"/>
      <c r="N19" s="10"/>
      <c r="O19" s="10">
        <f>N19*J19</f>
        <v>0</v>
      </c>
      <c r="P19" s="10"/>
      <c r="Q19" s="10"/>
      <c r="R19" s="31"/>
    </row>
    <row r="20" spans="1:18" ht="15.75" thickBot="1" x14ac:dyDescent="0.3">
      <c r="A20" s="16">
        <v>18</v>
      </c>
      <c r="B20" s="44"/>
      <c r="C20" s="43" t="s">
        <v>139</v>
      </c>
      <c r="D20" s="39" t="s">
        <v>114</v>
      </c>
      <c r="E20" s="39" t="s">
        <v>40</v>
      </c>
      <c r="F20" s="39" t="s">
        <v>115</v>
      </c>
      <c r="G20" s="39" t="s">
        <v>31</v>
      </c>
      <c r="H20" s="30"/>
      <c r="I20" s="38" t="s">
        <v>86</v>
      </c>
      <c r="J20" s="37">
        <v>1</v>
      </c>
      <c r="K20" s="47"/>
      <c r="L20" s="22">
        <f>J20*1.1*1</f>
        <v>1.1000000000000001</v>
      </c>
      <c r="M20" s="23"/>
      <c r="N20" s="19"/>
      <c r="O20" s="19">
        <f>N20*J20</f>
        <v>0</v>
      </c>
      <c r="P20" s="19"/>
      <c r="Q20" s="19"/>
      <c r="R20" s="30"/>
    </row>
    <row r="21" spans="1:18" ht="15.75" thickBot="1" x14ac:dyDescent="0.3">
      <c r="A21" s="16">
        <v>19</v>
      </c>
      <c r="B21" s="44"/>
      <c r="C21" s="43" t="s">
        <v>116</v>
      </c>
      <c r="D21" s="39" t="s">
        <v>117</v>
      </c>
      <c r="E21" s="39" t="s">
        <v>40</v>
      </c>
      <c r="F21" s="39" t="s">
        <v>118</v>
      </c>
      <c r="G21" s="39" t="s">
        <v>11</v>
      </c>
      <c r="H21" s="3" t="s">
        <v>30</v>
      </c>
      <c r="I21" s="38" t="s">
        <v>87</v>
      </c>
      <c r="J21" s="37">
        <v>48</v>
      </c>
      <c r="K21" s="37"/>
      <c r="L21" s="21">
        <f>J21*1.1*1</f>
        <v>52.800000000000004</v>
      </c>
      <c r="M21" s="5"/>
      <c r="N21" s="9"/>
      <c r="O21" s="9">
        <f>N21*J21</f>
        <v>0</v>
      </c>
      <c r="P21" s="9"/>
      <c r="Q21" s="9"/>
      <c r="R21" s="4"/>
    </row>
    <row r="22" spans="1:18" ht="15.75" thickBot="1" x14ac:dyDescent="0.3">
      <c r="A22" s="16">
        <v>20</v>
      </c>
      <c r="B22" s="44"/>
      <c r="C22" s="43" t="s">
        <v>119</v>
      </c>
      <c r="D22" s="39" t="s">
        <v>120</v>
      </c>
      <c r="E22" s="39" t="s">
        <v>40</v>
      </c>
      <c r="F22" s="39" t="s">
        <v>121</v>
      </c>
      <c r="G22" s="39" t="s">
        <v>11</v>
      </c>
      <c r="H22" s="3" t="s">
        <v>30</v>
      </c>
      <c r="I22" s="38" t="s">
        <v>88</v>
      </c>
      <c r="J22" s="37">
        <v>82</v>
      </c>
      <c r="K22" s="37"/>
      <c r="L22" s="21">
        <f>J22*1.1*1</f>
        <v>90.2</v>
      </c>
      <c r="M22" s="5"/>
      <c r="N22" s="9"/>
      <c r="O22" s="9">
        <f>N22*J22</f>
        <v>0</v>
      </c>
      <c r="P22" s="9"/>
      <c r="Q22" s="9"/>
      <c r="R22" s="4"/>
    </row>
    <row r="23" spans="1:18" ht="15.75" thickBot="1" x14ac:dyDescent="0.3">
      <c r="A23" s="16">
        <v>21</v>
      </c>
      <c r="B23" s="44" t="s">
        <v>162</v>
      </c>
      <c r="C23" s="43" t="s">
        <v>122</v>
      </c>
      <c r="D23" s="39" t="s">
        <v>123</v>
      </c>
      <c r="E23" s="39" t="s">
        <v>25</v>
      </c>
      <c r="F23" s="39" t="s">
        <v>89</v>
      </c>
      <c r="G23" s="39" t="s">
        <v>42</v>
      </c>
      <c r="H23" s="3" t="s">
        <v>30</v>
      </c>
      <c r="I23" s="38"/>
      <c r="J23" s="37">
        <v>1</v>
      </c>
      <c r="K23" s="37"/>
      <c r="L23" s="21">
        <f>J23*1.1*1</f>
        <v>1.1000000000000001</v>
      </c>
      <c r="M23" s="5"/>
      <c r="N23" s="9"/>
      <c r="O23" s="9">
        <f>N23*J23</f>
        <v>0</v>
      </c>
      <c r="P23" s="9"/>
      <c r="Q23" s="9"/>
      <c r="R23" s="4"/>
    </row>
    <row r="24" spans="1:18" ht="15.75" thickBot="1" x14ac:dyDescent="0.3">
      <c r="A24" s="16">
        <v>22</v>
      </c>
      <c r="B24" s="44"/>
      <c r="C24" s="43" t="s">
        <v>141</v>
      </c>
      <c r="D24" s="39" t="s">
        <v>124</v>
      </c>
      <c r="E24" s="39" t="s">
        <v>25</v>
      </c>
      <c r="F24" s="39" t="s">
        <v>90</v>
      </c>
      <c r="G24" s="39" t="s">
        <v>146</v>
      </c>
      <c r="H24" s="3" t="s">
        <v>30</v>
      </c>
      <c r="I24" s="38"/>
      <c r="J24" s="37">
        <v>1</v>
      </c>
      <c r="K24" s="37"/>
      <c r="L24" s="21">
        <f>J24*1.1*1</f>
        <v>1.1000000000000001</v>
      </c>
      <c r="M24" s="5"/>
      <c r="N24" s="9"/>
      <c r="O24" s="9">
        <f>N24*J24</f>
        <v>0</v>
      </c>
      <c r="P24" s="9"/>
      <c r="Q24" s="9"/>
      <c r="R24" s="4"/>
    </row>
    <row r="25" spans="1:18" ht="15.75" thickBot="1" x14ac:dyDescent="0.3">
      <c r="A25" s="16">
        <v>23</v>
      </c>
      <c r="B25" s="44" t="s">
        <v>24</v>
      </c>
      <c r="C25" s="43" t="s">
        <v>125</v>
      </c>
      <c r="D25" s="39" t="s">
        <v>37</v>
      </c>
      <c r="E25" s="39" t="s">
        <v>126</v>
      </c>
      <c r="F25" s="39" t="s">
        <v>91</v>
      </c>
      <c r="G25" s="39" t="s">
        <v>147</v>
      </c>
      <c r="H25" s="3" t="s">
        <v>30</v>
      </c>
      <c r="I25" s="38"/>
      <c r="J25" s="37">
        <v>1</v>
      </c>
      <c r="K25" s="37"/>
      <c r="L25" s="21">
        <f>J25*1.1*1</f>
        <v>1.1000000000000001</v>
      </c>
      <c r="M25" s="5"/>
      <c r="N25" s="9"/>
      <c r="O25" s="9">
        <f>N25*J25</f>
        <v>0</v>
      </c>
      <c r="P25" s="9"/>
      <c r="Q25" s="9"/>
      <c r="R25" s="4"/>
    </row>
    <row r="26" spans="1:18" ht="15.75" thickBot="1" x14ac:dyDescent="0.3">
      <c r="A26" s="16">
        <v>24</v>
      </c>
      <c r="B26" s="44"/>
      <c r="C26" s="43" t="s">
        <v>127</v>
      </c>
      <c r="D26" s="39" t="s">
        <v>39</v>
      </c>
      <c r="E26" s="39" t="s">
        <v>128</v>
      </c>
      <c r="F26" s="39" t="s">
        <v>92</v>
      </c>
      <c r="G26" s="39" t="s">
        <v>148</v>
      </c>
      <c r="H26" s="3" t="s">
        <v>30</v>
      </c>
      <c r="I26" s="38"/>
      <c r="J26" s="37">
        <v>2</v>
      </c>
      <c r="K26" s="37"/>
      <c r="L26" s="21">
        <f>J26*1.1*1</f>
        <v>2.2000000000000002</v>
      </c>
      <c r="M26" s="5"/>
      <c r="N26" s="9"/>
      <c r="O26" s="9">
        <f>N26*J26</f>
        <v>0</v>
      </c>
      <c r="P26" s="9"/>
      <c r="Q26" s="9"/>
      <c r="R26" s="4"/>
    </row>
    <row r="27" spans="1:18" ht="15.75" thickBot="1" x14ac:dyDescent="0.3">
      <c r="A27" s="16">
        <v>25</v>
      </c>
      <c r="B27" s="44"/>
      <c r="C27" s="43" t="s">
        <v>129</v>
      </c>
      <c r="D27" s="39" t="s">
        <v>130</v>
      </c>
      <c r="E27" s="39" t="s">
        <v>131</v>
      </c>
      <c r="F27" s="39" t="s">
        <v>93</v>
      </c>
      <c r="G27" s="39" t="s">
        <v>38</v>
      </c>
      <c r="H27" s="3" t="s">
        <v>30</v>
      </c>
      <c r="I27" s="38"/>
      <c r="J27" s="37">
        <v>1</v>
      </c>
      <c r="K27" s="37"/>
      <c r="L27" s="21">
        <f>J27*1.1*1</f>
        <v>1.1000000000000001</v>
      </c>
      <c r="M27" s="5"/>
      <c r="N27" s="9"/>
      <c r="O27" s="9">
        <f>N27*J27</f>
        <v>0</v>
      </c>
      <c r="P27" s="9"/>
      <c r="Q27" s="9"/>
      <c r="R27" s="4"/>
    </row>
    <row r="28" spans="1:18" ht="15.75" thickBot="1" x14ac:dyDescent="0.3">
      <c r="A28" s="16">
        <v>26</v>
      </c>
      <c r="B28" s="44"/>
      <c r="C28" s="43" t="s">
        <v>132</v>
      </c>
      <c r="D28" s="39" t="s">
        <v>41</v>
      </c>
      <c r="E28" s="39" t="s">
        <v>133</v>
      </c>
      <c r="F28" s="39" t="s">
        <v>94</v>
      </c>
      <c r="G28" s="39" t="s">
        <v>149</v>
      </c>
      <c r="H28" s="3" t="s">
        <v>30</v>
      </c>
      <c r="I28" s="38"/>
      <c r="J28" s="37">
        <v>1</v>
      </c>
      <c r="K28" s="37"/>
      <c r="L28" s="21">
        <f>J28*1.1*1</f>
        <v>1.1000000000000001</v>
      </c>
      <c r="M28" s="5"/>
      <c r="N28" s="9"/>
      <c r="O28" s="9">
        <f>N28*J28</f>
        <v>0</v>
      </c>
      <c r="P28" s="9"/>
      <c r="Q28" s="9"/>
      <c r="R28" s="4"/>
    </row>
    <row r="29" spans="1:18" ht="15.75" thickBot="1" x14ac:dyDescent="0.3">
      <c r="A29" s="16">
        <v>27</v>
      </c>
      <c r="B29" s="44" t="s">
        <v>163</v>
      </c>
      <c r="C29" s="43" t="s">
        <v>144</v>
      </c>
      <c r="D29" s="39" t="s">
        <v>134</v>
      </c>
      <c r="E29" s="39" t="s">
        <v>25</v>
      </c>
      <c r="F29" s="39" t="s">
        <v>135</v>
      </c>
      <c r="G29" s="39" t="s">
        <v>150</v>
      </c>
      <c r="H29" s="3"/>
      <c r="I29" s="38" t="s">
        <v>95</v>
      </c>
      <c r="J29" s="37">
        <v>1</v>
      </c>
      <c r="K29" s="37"/>
      <c r="L29" s="21">
        <f>J29*1.1*1</f>
        <v>1.1000000000000001</v>
      </c>
      <c r="M29" s="5"/>
      <c r="N29" s="9"/>
      <c r="O29" s="9">
        <f>N29*J29</f>
        <v>0</v>
      </c>
      <c r="P29" s="9"/>
      <c r="Q29" s="9"/>
      <c r="R29" s="4"/>
    </row>
    <row r="30" spans="1:18" ht="15.75" thickBot="1" x14ac:dyDescent="0.3">
      <c r="A30" s="16">
        <v>28</v>
      </c>
      <c r="B30" s="44"/>
      <c r="C30" s="43" t="s">
        <v>136</v>
      </c>
      <c r="D30" s="39" t="s">
        <v>137</v>
      </c>
      <c r="E30" s="39" t="s">
        <v>25</v>
      </c>
      <c r="F30" s="39" t="s">
        <v>138</v>
      </c>
      <c r="G30" s="39" t="s">
        <v>151</v>
      </c>
      <c r="H30" s="3" t="s">
        <v>30</v>
      </c>
      <c r="I30" s="38" t="s">
        <v>96</v>
      </c>
      <c r="J30" s="37">
        <v>5</v>
      </c>
      <c r="K30" s="37"/>
      <c r="L30" s="21">
        <f>J30*1.1*1</f>
        <v>5.5</v>
      </c>
      <c r="M30" s="5"/>
      <c r="N30" s="9"/>
      <c r="O30" s="9">
        <f>N30*J30</f>
        <v>0</v>
      </c>
      <c r="P30" s="9"/>
      <c r="Q30" s="9"/>
      <c r="R30" s="4"/>
    </row>
    <row r="31" spans="1:18" ht="15.75" thickBot="1" x14ac:dyDescent="0.3">
      <c r="A31" s="16">
        <v>29</v>
      </c>
      <c r="B31" s="44" t="s">
        <v>164</v>
      </c>
      <c r="C31" s="41" t="s">
        <v>152</v>
      </c>
      <c r="D31" s="39" t="s">
        <v>6</v>
      </c>
      <c r="E31" s="39" t="s">
        <v>25</v>
      </c>
      <c r="F31" s="39" t="s">
        <v>153</v>
      </c>
      <c r="G31" s="3"/>
      <c r="H31" s="3" t="s">
        <v>30</v>
      </c>
      <c r="I31" s="3"/>
      <c r="J31" s="37">
        <v>1</v>
      </c>
      <c r="K31" s="37"/>
      <c r="L31" s="21">
        <f>J31*1.1*1</f>
        <v>1.1000000000000001</v>
      </c>
      <c r="M31" s="5"/>
      <c r="N31" s="9"/>
      <c r="O31" s="9">
        <f>N31*J31</f>
        <v>0</v>
      </c>
      <c r="P31" s="9"/>
      <c r="Q31" s="9"/>
      <c r="R31" s="4"/>
    </row>
    <row r="32" spans="1:18" ht="15.75" thickBot="1" x14ac:dyDescent="0.3">
      <c r="A32" s="16">
        <v>30</v>
      </c>
      <c r="B32" s="44"/>
      <c r="C32" s="41" t="s">
        <v>154</v>
      </c>
      <c r="D32" s="39" t="s">
        <v>155</v>
      </c>
      <c r="E32" s="39" t="s">
        <v>25</v>
      </c>
      <c r="F32" s="39" t="s">
        <v>156</v>
      </c>
      <c r="G32" s="3"/>
      <c r="H32" s="3" t="s">
        <v>30</v>
      </c>
      <c r="I32" s="3"/>
      <c r="J32" s="37">
        <v>1</v>
      </c>
      <c r="K32" s="37"/>
      <c r="L32" s="21">
        <f>J32*1.1*1</f>
        <v>1.1000000000000001</v>
      </c>
      <c r="M32" s="5"/>
      <c r="N32" s="9"/>
      <c r="O32" s="9">
        <f>N32*J32</f>
        <v>0</v>
      </c>
      <c r="P32" s="9"/>
      <c r="Q32" s="9"/>
      <c r="R32" s="4"/>
    </row>
    <row r="33" spans="1:18" ht="15.75" thickBot="1" x14ac:dyDescent="0.3">
      <c r="A33" s="16">
        <v>31</v>
      </c>
      <c r="B33" s="44"/>
      <c r="C33" s="41" t="s">
        <v>157</v>
      </c>
      <c r="D33" s="39" t="s">
        <v>158</v>
      </c>
      <c r="E33" s="39" t="s">
        <v>25</v>
      </c>
      <c r="F33" s="39" t="s">
        <v>159</v>
      </c>
      <c r="G33" s="3"/>
      <c r="H33" s="3" t="s">
        <v>30</v>
      </c>
      <c r="I33" s="3"/>
      <c r="J33" s="37">
        <v>1</v>
      </c>
      <c r="K33" s="37"/>
      <c r="L33" s="21">
        <f>J33*1.1*1</f>
        <v>1.1000000000000001</v>
      </c>
      <c r="M33" s="5"/>
      <c r="N33" s="9"/>
      <c r="O33" s="9">
        <f>N33*J33</f>
        <v>0</v>
      </c>
      <c r="P33" s="9"/>
      <c r="Q33" s="9"/>
      <c r="R33" s="4"/>
    </row>
  </sheetData>
  <mergeCells count="9">
    <mergeCell ref="B25:B28"/>
    <mergeCell ref="B29:B30"/>
    <mergeCell ref="B31:B33"/>
    <mergeCell ref="A1:R1"/>
    <mergeCell ref="B3:B11"/>
    <mergeCell ref="B13:B14"/>
    <mergeCell ref="B15:B16"/>
    <mergeCell ref="B17:B22"/>
    <mergeCell ref="B23:B24"/>
  </mergeCells>
  <conditionalFormatting sqref="R18:R19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{4C9C326B-4C56-4FAB-AAC4-1C2AD82307C7}</x14:id>
        </ext>
      </extLst>
    </cfRule>
  </conditionalFormatting>
  <conditionalFormatting sqref="R1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{1E9729DE-FAF6-438D-9713-9DF30B90E9D9}</x14:id>
        </ext>
      </extLst>
    </cfRule>
  </conditionalFormatting>
  <conditionalFormatting sqref="O3:Q3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{E573F2D8-CA7D-4C0C-885C-5E9D1158098B}</x14:id>
        </ext>
      </extLst>
    </cfRule>
  </conditionalFormatting>
  <conditionalFormatting sqref="J3:L33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33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9C326B-4C56-4FAB-AAC4-1C2AD82307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R18:R19</xm:sqref>
        </x14:conditionalFormatting>
        <x14:conditionalFormatting xmlns:xm="http://schemas.microsoft.com/office/excel/2006/main">
          <x14:cfRule type="dataBar" id="{1E9729DE-FAF6-438D-9713-9DF30B90E9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573F2D8-CA7D-4C0C-885C-5E9D11580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O3:Q33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Board</vt:lpstr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2021-05-17T11:34:06Z</dcterms:created>
  <dcterms:modified xsi:type="dcterms:W3CDTF">2022-03-30T14:04:38Z</dcterms:modified>
</cp:coreProperties>
</file>